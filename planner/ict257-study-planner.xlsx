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tudy plan" sheetId="2" state="visible" r:id="rId2"/>
    <sheet xmlns:r="http://schemas.openxmlformats.org/officeDocument/2006/relationships" name="Practice" sheetId="3" state="visible" r:id="rId3"/>
  </sheets>
  <definedNames>
    <definedName name="SemesterStart">'Start here'!$B$5</definedName>
    <definedName name="ExamDate">'Start here'!$B$6</definedName>
    <definedName name="RevisionCutoff">'Start here'!$B$7</definedName>
    <definedName name="PlanCourse">'Study plan'!$A$5:$A$45</definedName>
    <definedName name="PlanFirstPass">'Study plan'!$F$5:$F$45</definedName>
    <definedName name="PlanRev1">'Study plan'!$G$5:$G$45</definedName>
    <definedName name="PlanRev2">'Study plan'!$H$5:$H$45</definedName>
    <definedName name="PlanStatus">'Study plan'!$I$5:$I$45</definedName>
    <definedName name="PlanConfidence">'Study plan'!$J$5:$J$45</definedName>
    <definedName name="PracticeStatus">'Practice'!$H$5:$H$26</definedName>
    <definedName name="PracticeReady">'Practice'!$D$5:$D$26</definedName>
    <definedName name="_xlnm._FilterDatabase" localSheetId="1" hidden="1">'Study plan'!$A$4:$K$45</definedName>
    <definedName name="_xlnm.Print_Titles" localSheetId="1">'Study plan'!$4:$4</definedName>
    <definedName name="_xlnm._FilterDatabase" localSheetId="2" hidden="1">'Practice'!$A$4:$I$26</definedName>
    <definedName name="_xlnm.Print_Titles" localSheetId="2">'Practice'!$4:$4</definedName>
  </definedNames>
  <calcPr calcId="124519" fullCalcOnLoad="1"/>
</workbook>
</file>

<file path=xl/styles.xml><?xml version="1.0" encoding="utf-8"?>
<styleSheet xmlns="http://schemas.openxmlformats.org/spreadsheetml/2006/main">
  <numFmts count="2">
    <numFmt numFmtId="164" formatCode="yyyy-mm-dd"/>
    <numFmt numFmtId="165" formatCode="dd mmm yyyy"/>
  </numFmts>
  <fonts count="13">
    <font>
      <name val="Calibri"/>
      <family val="2"/>
      <color theme="1"/>
      <sz val="11"/>
      <scheme val="minor"/>
    </font>
    <font>
      <name val="Calibri"/>
      <b val="1"/>
      <color rgb="00FFFFFF"/>
      <sz val="16"/>
    </font>
    <font>
      <name val="Calibri"/>
      <color rgb="005A6B75"/>
      <sz val="10"/>
    </font>
    <font>
      <name val="Calibri"/>
      <b val="1"/>
      <color rgb="00051C2C"/>
      <sz val="12"/>
    </font>
    <font>
      <name val="Calibri"/>
      <color rgb="00051C2C"/>
      <sz val="10"/>
    </font>
    <font>
      <name val="Calibri"/>
      <b val="1"/>
      <color rgb="00051C2C"/>
      <sz val="11"/>
    </font>
    <font>
      <name val="Calibri"/>
      <b val="1"/>
      <color rgb="00E5A000"/>
      <sz val="9"/>
    </font>
    <font>
      <name val="Calibri"/>
      <b val="1"/>
      <color rgb="00051C2C"/>
      <sz val="10"/>
    </font>
    <font>
      <name val="Calibri"/>
      <i val="1"/>
      <color rgb="005A6B75"/>
      <sz val="9"/>
    </font>
    <font>
      <name val="Calibri"/>
      <b val="1"/>
      <color rgb="00FFFFFF"/>
      <sz val="10"/>
    </font>
    <font>
      <name val="Calibri"/>
      <b val="1"/>
      <color rgb="00034B6F"/>
      <sz val="10"/>
    </font>
    <font>
      <name val="Calibri"/>
      <color rgb="005A6B75"/>
      <sz val="9"/>
    </font>
    <font>
      <name val="Consolas"/>
      <color rgb="00034B6F"/>
      <sz val="9"/>
    </font>
  </fonts>
  <fills count="4">
    <fill>
      <patternFill/>
    </fill>
    <fill>
      <patternFill patternType="gray125"/>
    </fill>
    <fill>
      <patternFill patternType="solid">
        <fgColor rgb="00051C2C"/>
      </patternFill>
    </fill>
    <fill>
      <patternFill patternType="solid">
        <fgColor rgb="00FFFFFF"/>
      </patternFill>
    </fill>
  </fills>
  <borders count="5">
    <border>
      <left/>
      <right/>
      <top/>
      <bottom/>
      <diagonal/>
    </border>
    <border>
      <bottom style="thin">
        <color rgb="00B3B3B3"/>
      </bottom>
    </border>
    <border>
      <left style="medium">
        <color rgb="00E5A000"/>
      </left>
      <right style="medium">
        <color rgb="00E5A000"/>
      </right>
      <top style="medium">
        <color rgb="00E5A000"/>
      </top>
      <bottom style="medium">
        <color rgb="00E5A000"/>
      </bottom>
    </border>
    <border>
      <bottom style="thin">
        <color rgb="00E4E8EB"/>
      </bottom>
    </border>
    <border>
      <top style="thin">
        <color rgb="00B3B3B3"/>
      </top>
      <bottom style="thin">
        <color rgb="00E4E8EB"/>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applyAlignment="1" pivotButton="0" quotePrefix="0" xfId="0">
      <alignment horizontal="left" vertical="center" indent="1"/>
    </xf>
    <xf numFmtId="0" fontId="3" fillId="0" borderId="1" pivotButton="0" quotePrefix="0" xfId="0"/>
    <xf numFmtId="0" fontId="0" fillId="0" borderId="1" pivotButton="0" quotePrefix="0" xfId="0"/>
    <xf numFmtId="0" fontId="4" fillId="0" borderId="0" pivotButton="0" quotePrefix="0" xfId="0"/>
    <xf numFmtId="165" fontId="5" fillId="3" borderId="2" applyAlignment="1" pivotButton="0" quotePrefix="0" xfId="0">
      <alignment horizontal="center" vertical="center"/>
    </xf>
    <xf numFmtId="0" fontId="6" fillId="0" borderId="0" applyAlignment="1" pivotButton="0" quotePrefix="0" xfId="0">
      <alignment horizontal="left" vertical="center"/>
    </xf>
    <xf numFmtId="0" fontId="2" fillId="0" borderId="0" applyAlignment="1" pivotButton="0" quotePrefix="0" xfId="0">
      <alignment horizontal="left" vertical="center" wrapText="1"/>
    </xf>
    <xf numFmtId="165" fontId="5" fillId="0" borderId="0" applyAlignment="1" pivotButton="0" quotePrefix="0" xfId="0">
      <alignment horizontal="center" vertical="center"/>
    </xf>
    <xf numFmtId="1" fontId="5" fillId="0" borderId="0" applyAlignment="1" pivotButton="0" quotePrefix="0" xfId="0">
      <alignment horizontal="center" vertical="center"/>
    </xf>
    <xf numFmtId="0" fontId="7" fillId="0" borderId="1" pivotButton="0" quotePrefix="0" xfId="0"/>
    <xf numFmtId="0" fontId="5" fillId="0" borderId="0" applyAlignment="1" pivotButton="0" quotePrefix="0" xfId="0">
      <alignment horizontal="center" vertical="center"/>
    </xf>
    <xf numFmtId="9" fontId="7" fillId="0" borderId="0" applyAlignment="1" pivotButton="0" quotePrefix="0" xfId="0">
      <alignment horizontal="left" vertical="center"/>
    </xf>
    <xf numFmtId="0" fontId="4" fillId="0" borderId="0" applyAlignment="1" pivotButton="0" quotePrefix="0" xfId="0">
      <alignment horizontal="left" vertical="top" wrapText="1"/>
    </xf>
    <xf numFmtId="0" fontId="8" fillId="0" borderId="0" applyAlignment="1" pivotButton="0" quotePrefix="0" xfId="0">
      <alignment horizontal="left" vertical="top" wrapText="1"/>
    </xf>
    <xf numFmtId="0" fontId="9" fillId="2" borderId="0" applyAlignment="1" pivotButton="0" quotePrefix="0" xfId="0">
      <alignment horizontal="left" vertical="center" wrapText="1"/>
    </xf>
    <xf numFmtId="0" fontId="10" fillId="0" borderId="3" applyAlignment="1" pivotButton="0" quotePrefix="0" xfId="0">
      <alignment horizontal="left" vertical="top"/>
    </xf>
    <xf numFmtId="0" fontId="4" fillId="0" borderId="3" applyAlignment="1" pivotButton="0" quotePrefix="0" xfId="0">
      <alignment horizontal="center" vertical="top"/>
    </xf>
    <xf numFmtId="0" fontId="4" fillId="0" borderId="3" applyAlignment="1" pivotButton="0" quotePrefix="0" xfId="0">
      <alignment horizontal="left" vertical="top" wrapText="1"/>
    </xf>
    <xf numFmtId="0" fontId="11" fillId="0" borderId="3" applyAlignment="1" pivotButton="0" quotePrefix="0" xfId="0">
      <alignment horizontal="left" vertical="top" wrapText="1"/>
    </xf>
    <xf numFmtId="165" fontId="4" fillId="0" borderId="3" applyAlignment="1" pivotButton="0" quotePrefix="0" xfId="0">
      <alignment horizontal="center" vertical="top"/>
    </xf>
    <xf numFmtId="0" fontId="4" fillId="0" borderId="3" applyAlignment="1" pivotButton="0" quotePrefix="0" xfId="0">
      <alignment horizontal="left" vertical="top"/>
    </xf>
    <xf numFmtId="0" fontId="10" fillId="0" borderId="4" applyAlignment="1" pivotButton="0" quotePrefix="0" xfId="0">
      <alignment horizontal="left" vertical="top"/>
    </xf>
    <xf numFmtId="0" fontId="4" fillId="0" borderId="4" applyAlignment="1" pivotButton="0" quotePrefix="0" xfId="0">
      <alignment horizontal="center" vertical="top"/>
    </xf>
    <xf numFmtId="0" fontId="4" fillId="0" borderId="4" applyAlignment="1" pivotButton="0" quotePrefix="0" xfId="0">
      <alignment horizontal="left" vertical="top" wrapText="1"/>
    </xf>
    <xf numFmtId="0" fontId="11" fillId="0" borderId="4" applyAlignment="1" pivotButton="0" quotePrefix="0" xfId="0">
      <alignment horizontal="left" vertical="top" wrapText="1"/>
    </xf>
    <xf numFmtId="165" fontId="4" fillId="0" borderId="4" applyAlignment="1" pivotButton="0" quotePrefix="0" xfId="0">
      <alignment horizontal="center" vertical="top"/>
    </xf>
    <xf numFmtId="0" fontId="4" fillId="0" borderId="4" applyAlignment="1" pivotButton="0" quotePrefix="0" xfId="0">
      <alignment horizontal="left" vertical="top"/>
    </xf>
    <xf numFmtId="0" fontId="11" fillId="0" borderId="3" applyAlignment="1" pivotButton="0" quotePrefix="0" xfId="0">
      <alignment horizontal="center" vertical="top"/>
    </xf>
    <xf numFmtId="0" fontId="12" fillId="0" borderId="3" applyAlignment="1" pivotButton="0" quotePrefix="0" xfId="0">
      <alignment horizontal="left" vertical="top" wrapText="1"/>
    </xf>
  </cellXfs>
  <cellStyles count="1">
    <cellStyle name="Normal" xfId="0" builtinId="0" hidden="0"/>
  </cellStyles>
  <dxfs count="5">
    <dxf>
      <font>
        <name val="Calibri"/>
        <b val="1"/>
        <color rgb="00051C2C"/>
        <sz val="11"/>
      </font>
      <fill>
        <patternFill patternType="solid">
          <bgColor rgb="00E5A000"/>
        </patternFill>
      </fill>
    </dxf>
    <dxf>
      <font>
        <name val="Calibri"/>
        <b val="1"/>
        <color rgb="00051C2C"/>
        <sz val="10"/>
      </font>
      <fill>
        <patternFill patternType="solid">
          <bgColor rgb="00E5A000"/>
        </patternFill>
      </fill>
    </dxf>
    <dxf>
      <fill>
        <patternFill patternType="solid">
          <bgColor rgb="009CC7E0"/>
        </patternFill>
      </fill>
    </dxf>
    <dxf>
      <font>
        <name val="Calibri"/>
        <strike val="1"/>
        <color rgb="005A6B75"/>
        <sz val="10"/>
      </font>
    </dxf>
    <dxf>
      <font>
        <name val="Calibri"/>
        <b val="1"/>
        <color rgb="00E5A00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51C2C"/>
    <outlinePr summaryBelow="1" summaryRight="1"/>
    <pageSetUpPr fitToPage="1"/>
  </sheetPr>
  <dimension ref="A1:F39"/>
  <sheetViews>
    <sheetView showGridLines="0" workbookViewId="0">
      <selection activeCell="A1" sqref="A1"/>
    </sheetView>
  </sheetViews>
  <sheetFormatPr baseColWidth="8" defaultRowHeight="15"/>
  <cols>
    <col width="38" customWidth="1" min="1" max="1"/>
    <col width="16" customWidth="1" min="2" max="2"/>
    <col width="2" customWidth="1" min="3" max="3"/>
    <col width="15" customWidth="1" min="4" max="4"/>
    <col width="14" customWidth="1" min="5" max="5"/>
    <col width="62" customWidth="1" min="6" max="6"/>
  </cols>
  <sheetData>
    <row r="1" ht="34" customHeight="1">
      <c r="A1" s="1" t="inlineStr">
        <is>
          <t>ICT257 study planner</t>
        </is>
      </c>
      <c r="B1" s="2" t="n"/>
      <c r="C1" s="2" t="n"/>
      <c r="D1" s="2" t="n"/>
      <c r="E1" s="2" t="n"/>
      <c r="F1" s="2" t="n"/>
    </row>
    <row r="2" ht="20" customHeight="1">
      <c r="A2" s="3" t="inlineStr">
        <is>
          <t>Red Hat System Administration on RHEL 10. Fifteen weeks, 41 chapters, one RHCSA (EX200) exam at the end.</t>
        </is>
      </c>
    </row>
    <row r="4" ht="22" customHeight="1">
      <c r="A4" s="4" t="inlineStr">
        <is>
          <t>1. Set one date</t>
        </is>
      </c>
      <c r="B4" s="5" t="n"/>
      <c r="C4" s="5" t="n"/>
      <c r="D4" s="5" t="n"/>
      <c r="E4" s="5" t="n"/>
      <c r="F4" s="5" t="n"/>
    </row>
    <row r="5" ht="22" customHeight="1">
      <c r="A5" s="6" t="inlineStr">
        <is>
          <t>Date of your week 1 class</t>
        </is>
      </c>
      <c r="B5" s="7" t="n">
        <v>46237</v>
      </c>
      <c r="D5" s="8" t="inlineStr">
        <is>
          <t>Change me</t>
        </is>
      </c>
      <c r="F5" s="9" t="inlineStr">
        <is>
          <t>This is the only cell you have to fill in. Every date in this workbook is worked out from it.</t>
        </is>
      </c>
    </row>
    <row r="6" ht="22" customHeight="1">
      <c r="A6" s="6" t="inlineStr">
        <is>
          <t>Exam date, week 15</t>
        </is>
      </c>
      <c r="B6" s="10">
        <f>SemesterStart+7*14</f>
        <v/>
      </c>
      <c r="F6" s="9" t="inlineStr">
        <is>
          <t>The same weekday as your class, fourteen weeks on. Type your booked date over it if you have one.</t>
        </is>
      </c>
    </row>
    <row r="7" ht="22" customHeight="1">
      <c r="A7" s="6" t="inlineStr">
        <is>
          <t>Last day to revise</t>
        </is>
      </c>
      <c r="B7" s="10">
        <f>ExamDate-2</f>
        <v/>
      </c>
      <c r="F7" s="9" t="inlineStr">
        <is>
          <t>Nothing is scheduled after this day. The two days before the exam are yours.</t>
        </is>
      </c>
    </row>
    <row r="8" ht="22" customHeight="1">
      <c r="A8" s="6" t="inlineStr">
        <is>
          <t>Days until the exam</t>
        </is>
      </c>
      <c r="B8" s="11">
        <f>ExamDate-TODAY()</f>
        <v/>
      </c>
      <c r="F8" s="9" t="inlineStr">
        <is>
          <t>Counts down on its own every time you open the file.</t>
        </is>
      </c>
    </row>
    <row r="10" ht="22" customHeight="1">
      <c r="A10" s="4" t="inlineStr">
        <is>
          <t>2. Where you are</t>
        </is>
      </c>
      <c r="B10" s="5" t="n"/>
      <c r="C10" s="5" t="n"/>
      <c r="D10" s="5" t="n"/>
      <c r="E10" s="12" t="inlineStr">
        <is>
          <t>Progress</t>
        </is>
      </c>
      <c r="F10" s="5" t="n"/>
    </row>
    <row r="11" ht="20" customHeight="1">
      <c r="A11" s="6" t="inlineStr">
        <is>
          <t>Chapters done, out of 41</t>
        </is>
      </c>
      <c r="B11" s="13">
        <f>COUNTIF(PlanStatus,"Done")</f>
        <v/>
      </c>
      <c r="E11" s="14">
        <f>B11/41</f>
        <v/>
      </c>
    </row>
    <row r="12" ht="20" customHeight="1">
      <c r="A12" s="6" t="inlineStr">
        <is>
          <t>RH124 chapters done, out of 21</t>
        </is>
      </c>
      <c r="B12" s="13">
        <f>COUNTIFS(PlanCourse,"RH124",PlanStatus,"Done")</f>
        <v/>
      </c>
      <c r="E12" s="14">
        <f>B12/21</f>
        <v/>
      </c>
    </row>
    <row r="13" ht="20" customHeight="1">
      <c r="A13" s="6" t="inlineStr">
        <is>
          <t>RH134 chapters done, out of 20</t>
        </is>
      </c>
      <c r="B13" s="13">
        <f>COUNTIFS(PlanCourse,"RH134",PlanStatus,"Done")</f>
        <v/>
      </c>
      <c r="E13" s="14">
        <f>B13/20</f>
        <v/>
      </c>
    </row>
    <row r="14" ht="20" customHeight="1">
      <c r="A14" s="6" t="inlineStr">
        <is>
          <t>Practice challenges done, out of 22</t>
        </is>
      </c>
      <c r="B14" s="13">
        <f>COUNTIF(PracticeStatus,"Done")</f>
        <v/>
      </c>
      <c r="E14" s="14">
        <f>B14/22</f>
        <v/>
      </c>
    </row>
    <row r="16" ht="20" customHeight="1">
      <c r="A16" s="6" t="inlineStr">
        <is>
          <t>Dates gone by with the work not done</t>
        </is>
      </c>
      <c r="B16" s="11">
        <f>SUMPRODUCT((PlanFirstPass&lt;&gt;"")*(PlanFirstPass&lt;TODAY())*(PlanStatus&lt;&gt;"Done"))+SUMPRODUCT((PlanRev1&lt;&gt;"")*(PlanRev1&lt;TODAY())*(PlanStatus&lt;&gt;"Done"))+SUMPRODUCT((PlanRev2&lt;&gt;"")*(PlanRev2&lt;TODAY())*(PlanStatus&lt;&gt;"Done"))</f>
        <v/>
      </c>
      <c r="F16" s="9" t="inlineStr">
        <is>
          <t>Anything above zero is behind. Clear the oldest first.</t>
        </is>
      </c>
    </row>
    <row r="17" ht="20" customHeight="1">
      <c r="A17" s="6" t="inlineStr">
        <is>
          <t>Dates falling in the next seven days</t>
        </is>
      </c>
      <c r="B17" s="11">
        <f>SUMPRODUCT((PlanFirstPass&lt;&gt;"")*(PlanFirstPass&gt;=TODAY())*(PlanFirstPass&lt;=TODAY()+7))+SUMPRODUCT((PlanRev1&lt;&gt;"")*(PlanRev1&gt;=TODAY())*(PlanRev1&lt;=TODAY()+7))+SUMPRODUCT((PlanRev2&lt;&gt;"")*(PlanRev2&gt;=TODAY())*(PlanRev2&lt;=TODAY()+7))</f>
        <v/>
      </c>
      <c r="F17" s="9" t="inlineStr">
        <is>
          <t>This is your week. Sort the Study plan by any date column to see them.</t>
        </is>
      </c>
    </row>
    <row r="18" ht="20" customHeight="1">
      <c r="A18" s="6" t="inlineStr">
        <is>
          <t>Chapters you rated shaky or patchy</t>
        </is>
      </c>
      <c r="B18" s="11">
        <f>COUNTIF(PlanConfidence,"1*")+COUNTIF(PlanConfidence,"2*")</f>
        <v/>
      </c>
      <c r="F18" s="9" t="inlineStr">
        <is>
          <t>Revise these before anything you already rated solid.</t>
        </is>
      </c>
    </row>
    <row r="20" ht="22" customHeight="1">
      <c r="A20" s="4" t="inlineStr">
        <is>
          <t>3. How to use it</t>
        </is>
      </c>
      <c r="B20" s="5" t="n"/>
      <c r="C20" s="5" t="n"/>
      <c r="D20" s="5" t="n"/>
      <c r="E20" s="5" t="n"/>
      <c r="F20" s="5" t="n"/>
    </row>
    <row r="21" ht="15" customHeight="1">
      <c r="A21" s="15" t="inlineStr">
        <is>
          <t>Set the date of your week 1 class above. Every other date follows from it.</t>
        </is>
      </c>
    </row>
    <row r="22" ht="28" customHeight="1">
      <c r="A22" s="15" t="inlineStr">
        <is>
          <t>Go to the Study plan sheet. Each chapter carries three dates. The class date is the week it is taught. Revision 1 is a week later. Revision 2 is three weeks after that.</t>
        </is>
      </c>
    </row>
    <row r="23" ht="28" customHeight="1">
      <c r="A23" s="15" t="inlineStr">
        <is>
          <t>Three short passes beat one long one. The gap is the point. You have to work to recall the material, and the effort is what fixes it.</t>
        </is>
      </c>
    </row>
    <row r="24" ht="28" customHeight="1">
      <c r="A24" s="15" t="inlineStr">
        <is>
          <t>Mark Status from the dropdown as you go. Rate your confidence from the dropdown after each revision.</t>
        </is>
      </c>
    </row>
    <row r="25" ht="28" customHeight="1">
      <c r="A25" s="15" t="inlineStr">
        <is>
          <t>Then revise by weakness, not by order. Filter Confidence to 1 Shaky and 2 Patchy and start there.</t>
        </is>
      </c>
    </row>
    <row r="26" ht="28" customHeight="1">
      <c r="A26" s="15" t="inlineStr">
        <is>
          <t>Amber means a date has gone by and the work is not done. Light blue means a date falls in the next seven days.</t>
        </is>
      </c>
    </row>
    <row r="27" ht="15" customHeight="1">
      <c r="A27" s="15" t="inlineStr">
        <is>
          <t>Use the arrows in the header row to filter and sort. Sort by Revision 1 to see what is next.</t>
        </is>
      </c>
    </row>
    <row r="28" ht="28" customHeight="1">
      <c r="A28" s="15" t="inlineStr">
        <is>
          <t>The Practice sheet holds 22 optional challenges. Each one shows the week it becomes possible. Do the chapter labs first.</t>
        </is>
      </c>
    </row>
    <row r="29" ht="15" customHeight="1">
      <c r="A29" s="15" t="inlineStr">
        <is>
          <t>Print in landscape. The header row repeats on every page.</t>
        </is>
      </c>
    </row>
    <row r="31" ht="22" customHeight="1">
      <c r="A31" s="4" t="inlineStr">
        <is>
          <t>4. How the dates are worked out, and where they had to bend</t>
        </is>
      </c>
      <c r="B31" s="5" t="n"/>
      <c r="C31" s="5" t="n"/>
      <c r="D31" s="5" t="n"/>
      <c r="E31" s="5" t="n"/>
      <c r="F31" s="5" t="n"/>
    </row>
    <row r="32" ht="28" customHeight="1">
      <c r="A32" s="15" t="inlineStr">
        <is>
          <t>Weeks 1 to 7 are RH124. Weeks 8 to 13 are RH134. Week 14 is revision, and you sit the exam in week 15.</t>
        </is>
      </c>
    </row>
    <row r="33" ht="28" customHeight="1">
      <c r="A33" s="15" t="inlineStr">
        <is>
          <t>The two comprehensive reviews sit in week 14, where lessons.md puts them. RH124 20 is open to you from week 7 and RH134 19.02 and 19.04 from week 12, and 19.03 and 19.05 from week 13, so start either one early if you can.</t>
        </is>
      </c>
    </row>
    <row r="34" ht="28" customHeight="1">
      <c r="A34" s="15" t="inlineStr">
        <is>
          <t>A comprehensive review gets one revision, not two. There is no room for a second before the exam, and the exam itself is the second pass.</t>
        </is>
      </c>
    </row>
    <row r="35" ht="28" customHeight="1">
      <c r="A35" s="15" t="inlineStr">
        <is>
          <t>The two preface chapters get no revision dates. They orient you to the courseware and teach no skill the exam asks for. RH134 00 is not scheduled at all.</t>
        </is>
      </c>
    </row>
    <row r="36" ht="28" customHeight="1">
      <c r="A36" s="15" t="inlineStr">
        <is>
          <t>Three weeks after the first revision falls past the exam for the week 12 and week 13 chapters. Those second revisions are pulled back into revision week instead, week 12 material first and week 13 material a day later.</t>
        </is>
      </c>
    </row>
    <row r="37" ht="28" customHeight="1">
      <c r="A37" s="15" t="inlineStr">
        <is>
          <t>That squeeze lands on SELinux, storage, booting, troubleshooting, firewalls and network file systems, which is the hardest material in the module. Give revision week to those and start them before the sheet tells you to.</t>
        </is>
      </c>
    </row>
    <row r="39" ht="26" customHeight="1">
      <c r="A39" s="16" t="inlineStr">
        <is>
          <t>ICT257 Red Hat System Administration, Singapore University of Social Sciences. Taught by Eugene Teo. Chapters and weeks follow readings.md. Rebuild this file with python3 planner/build.py.</t>
        </is>
      </c>
    </row>
  </sheetData>
  <mergeCells count="18">
    <mergeCell ref="A24:F24"/>
    <mergeCell ref="A2:F2"/>
    <mergeCell ref="A33:F33"/>
    <mergeCell ref="A28:F28"/>
    <mergeCell ref="A36:F36"/>
    <mergeCell ref="A1:F1"/>
    <mergeCell ref="A23:F23"/>
    <mergeCell ref="A32:F32"/>
    <mergeCell ref="A27:F27"/>
    <mergeCell ref="A37:F37"/>
    <mergeCell ref="A22:F22"/>
    <mergeCell ref="A34:F34"/>
    <mergeCell ref="A35:F35"/>
    <mergeCell ref="A26:F26"/>
    <mergeCell ref="A21:F21"/>
    <mergeCell ref="A39:F39"/>
    <mergeCell ref="A29:F29"/>
    <mergeCell ref="A25:F25"/>
  </mergeCells>
  <conditionalFormatting sqref="E11:E14">
    <cfRule type="dataBar" priority="1">
      <dataBar showValue="1">
        <cfvo type="num" val="0"/>
        <cfvo type="num" val="1"/>
        <color rgb="002AA3D6"/>
      </dataBar>
    </cfRule>
  </conditionalFormatting>
  <conditionalFormatting sqref="B16:B18">
    <cfRule type="expression" priority="2" dxfId="0">
      <formula>B16&gt;0</formula>
    </cfRule>
  </conditionalFormatting>
  <printOptions horizontalCentered="1"/>
  <pageMargins left="0.4" right="0.4" top="0.5" bottom="0.5" header="0.5" footer="0.5"/>
  <pageSetup orientation="landscape" paperSize="9" fitToHeight="0" fitToWidth="1"/>
</worksheet>
</file>

<file path=xl/worksheets/sheet2.xml><?xml version="1.0" encoding="utf-8"?>
<worksheet xmlns="http://schemas.openxmlformats.org/spreadsheetml/2006/main">
  <sheetPr>
    <tabColor rgb="00034B6F"/>
    <outlinePr summaryBelow="1" summaryRight="1"/>
    <pageSetUpPr fitToPage="1"/>
  </sheetPr>
  <dimension ref="A1:K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5" customWidth="1" min="2" max="2"/>
    <col width="46" customWidth="1" min="3" max="3"/>
    <col width="6" customWidth="1" min="4" max="4"/>
    <col width="38" customWidth="1" min="5" max="5"/>
    <col width="13" customWidth="1" min="6" max="6"/>
    <col width="13" customWidth="1" min="7" max="7"/>
    <col width="13" customWidth="1" min="8" max="8"/>
    <col width="14" customWidth="1" min="9" max="9"/>
    <col width="14" customWidth="1" min="10" max="10"/>
    <col width="34" customWidth="1" min="11" max="11"/>
  </cols>
  <sheetData>
    <row r="1" ht="34" customHeight="1">
      <c r="A1" s="1" t="inlineStr">
        <is>
          <t>Study plan</t>
        </is>
      </c>
      <c r="B1" s="2" t="n"/>
      <c r="C1" s="2" t="n"/>
      <c r="D1" s="2" t="n"/>
      <c r="E1" s="2" t="n"/>
      <c r="F1" s="2" t="n"/>
      <c r="G1" s="2" t="n"/>
      <c r="H1" s="2" t="n"/>
      <c r="I1" s="2" t="n"/>
      <c r="J1" s="2" t="n"/>
      <c r="K1" s="2" t="n"/>
    </row>
    <row r="2" ht="20" customHeight="1">
      <c r="A2" s="3">
        <f>"Every chapter of both courses, in the week it is taught. Your exam is on "&amp;TEXT(ExamDate,"dd mmm yyyy")&amp;", which is "&amp;ExamDate-TODAY()&amp;" days away."</f>
        <v/>
      </c>
    </row>
    <row r="3" ht="8" customHeight="1"/>
    <row r="4" ht="30" customHeight="1">
      <c r="A4" s="17" t="inlineStr">
        <is>
          <t>Course</t>
        </is>
      </c>
      <c r="B4" s="17" t="inlineStr">
        <is>
          <t>Ch</t>
        </is>
      </c>
      <c r="C4" s="17" t="inlineStr">
        <is>
          <t>Chapter</t>
        </is>
      </c>
      <c r="D4" s="17" t="inlineStr">
        <is>
          <t>Week</t>
        </is>
      </c>
      <c r="E4" s="17" t="inlineStr">
        <is>
          <t>What the week covers</t>
        </is>
      </c>
      <c r="F4" s="17" t="inlineStr">
        <is>
          <t>Class date</t>
        </is>
      </c>
      <c r="G4" s="17" t="inlineStr">
        <is>
          <t>Revision 1</t>
        </is>
      </c>
      <c r="H4" s="17" t="inlineStr">
        <is>
          <t>Revision 2</t>
        </is>
      </c>
      <c r="I4" s="17" t="inlineStr">
        <is>
          <t>Status</t>
        </is>
      </c>
      <c r="J4" s="17" t="inlineStr">
        <is>
          <t>Confidence</t>
        </is>
      </c>
      <c r="K4" s="17" t="inlineStr">
        <is>
          <t>Notes</t>
        </is>
      </c>
    </row>
    <row r="5">
      <c r="A5" s="18" t="inlineStr">
        <is>
          <t>RH124</t>
        </is>
      </c>
      <c r="B5" s="19" t="n">
        <v>0</v>
      </c>
      <c r="C5" s="20" t="inlineStr">
        <is>
          <t>Preface - Introduction</t>
        </is>
      </c>
      <c r="D5" s="19" t="n">
        <v>1</v>
      </c>
      <c r="E5" s="21" t="inlineStr">
        <is>
          <t>Getting oriented, system documentation, the command-line assistant and the shell</t>
        </is>
      </c>
      <c r="F5" s="22">
        <f>SemesterStart+7*($D5-1)</f>
        <v/>
      </c>
      <c r="G5" s="22">
        <f>IF($B5=0,"",MIN($F5+7,RevisionCutoff))</f>
        <v/>
      </c>
      <c r="H5" s="22">
        <f>IF(OR($B5=0,$D5&gt;=14),"",MIN($G5+21,RevisionCutoff-13+$D5))</f>
        <v/>
      </c>
      <c r="I5" s="23" t="inlineStr">
        <is>
          <t>Not started</t>
        </is>
      </c>
      <c r="J5" s="23" t="n"/>
      <c r="K5" s="21" t="inlineStr">
        <is>
          <t>Sections 00.02 and 00.03 only. They cover the lab environment and the exercise types.</t>
        </is>
      </c>
    </row>
    <row r="6">
      <c r="A6" s="18" t="inlineStr">
        <is>
          <t>RH124</t>
        </is>
      </c>
      <c r="B6" s="19" t="n">
        <v>1</v>
      </c>
      <c r="C6" s="20" t="inlineStr">
        <is>
          <t>Introduction to Red Hat Enterprise Linux</t>
        </is>
      </c>
      <c r="D6" s="19" t="n">
        <v>1</v>
      </c>
      <c r="E6" s="21" t="inlineStr">
        <is>
          <t>Getting oriented, system documentation, the command-line assistant and the shell</t>
        </is>
      </c>
      <c r="F6" s="22">
        <f>SemesterStart+7*($D6-1)</f>
        <v/>
      </c>
      <c r="G6" s="22">
        <f>IF($B6=0,"",MIN($F6+7,RevisionCutoff))</f>
        <v/>
      </c>
      <c r="H6" s="22">
        <f>IF(OR($B6=0,$D6&gt;=14),"",MIN($G6+21,RevisionCutoff-13+$D6))</f>
        <v/>
      </c>
      <c r="I6" s="23" t="inlineStr">
        <is>
          <t>Not started</t>
        </is>
      </c>
      <c r="J6" s="23" t="n"/>
      <c r="K6" s="21" t="inlineStr">
        <is>
          <t>Context, not a skill. No objective matches it.</t>
        </is>
      </c>
    </row>
    <row r="7">
      <c r="A7" s="18" t="inlineStr">
        <is>
          <t>RH124</t>
        </is>
      </c>
      <c r="B7" s="19" t="n">
        <v>2</v>
      </c>
      <c r="C7" s="20" t="inlineStr">
        <is>
          <t>Accessing the Command Line</t>
        </is>
      </c>
      <c r="D7" s="19" t="n">
        <v>1</v>
      </c>
      <c r="E7" s="21" t="inlineStr">
        <is>
          <t>Getting oriented, system documentation, the command-line assistant and the shell</t>
        </is>
      </c>
      <c r="F7" s="22">
        <f>SemesterStart+7*($D7-1)</f>
        <v/>
      </c>
      <c r="G7" s="22">
        <f>IF($B7=0,"",MIN($F7+7,RevisionCutoff))</f>
        <v/>
      </c>
      <c r="H7" s="22">
        <f>IF(OR($B7=0,$D7&gt;=14),"",MIN($G7+21,RevisionCutoff-13+$D7))</f>
        <v/>
      </c>
      <c r="I7" s="23" t="inlineStr">
        <is>
          <t>Not started</t>
        </is>
      </c>
      <c r="J7" s="23" t="n"/>
      <c r="K7" s="21" t="inlineStr"/>
    </row>
    <row r="8">
      <c r="A8" s="18" t="inlineStr">
        <is>
          <t>RH124</t>
        </is>
      </c>
      <c r="B8" s="19" t="n">
        <v>3</v>
      </c>
      <c r="C8" s="20" t="inlineStr">
        <is>
          <t>Getting Help from Local Documentation</t>
        </is>
      </c>
      <c r="D8" s="19" t="n">
        <v>1</v>
      </c>
      <c r="E8" s="21" t="inlineStr">
        <is>
          <t>Getting oriented, system documentation, the command-line assistant and the shell</t>
        </is>
      </c>
      <c r="F8" s="22">
        <f>SemesterStart+7*($D8-1)</f>
        <v/>
      </c>
      <c r="G8" s="22">
        <f>IF($B8=0,"",MIN($F8+7,RevisionCutoff))</f>
        <v/>
      </c>
      <c r="H8" s="22">
        <f>IF(OR($B8=0,$D8&gt;=14),"",MIN($G8+21,RevisionCutoff-13+$D8))</f>
        <v/>
      </c>
      <c r="I8" s="23" t="inlineStr">
        <is>
          <t>Not started</t>
        </is>
      </c>
      <c r="J8" s="23" t="n"/>
      <c r="K8" s="21" t="inlineStr"/>
    </row>
    <row r="9">
      <c r="A9" s="18" t="inlineStr">
        <is>
          <t>RH124</t>
        </is>
      </c>
      <c r="B9" s="19" t="n">
        <v>4</v>
      </c>
      <c r="C9" s="20" t="inlineStr">
        <is>
          <t>Registering Systems for Red Hat Support</t>
        </is>
      </c>
      <c r="D9" s="19" t="n">
        <v>2</v>
      </c>
      <c r="E9" s="21" t="inlineStr">
        <is>
          <t>Registering systems, the file-system hierarchy and working with files</t>
        </is>
      </c>
      <c r="F9" s="22">
        <f>SemesterStart+7*($D9-1)</f>
        <v/>
      </c>
      <c r="G9" s="22">
        <f>IF($B9=0,"",MIN($F9+7,RevisionCutoff))</f>
        <v/>
      </c>
      <c r="H9" s="22">
        <f>IF(OR($B9=0,$D9&gt;=14),"",MIN($G9+21,RevisionCutoff-13+$D9))</f>
        <v/>
      </c>
      <c r="I9" s="23" t="inlineStr">
        <is>
          <t>Not started</t>
        </is>
      </c>
      <c r="J9" s="23" t="n"/>
      <c r="K9" s="21" t="inlineStr"/>
    </row>
    <row r="10">
      <c r="A10" s="18" t="inlineStr">
        <is>
          <t>RH124</t>
        </is>
      </c>
      <c r="B10" s="19" t="n">
        <v>5</v>
      </c>
      <c r="C10" s="20" t="inlineStr">
        <is>
          <t>Getting AI-assisted Help with Red Hat Enterprise Linux Lightspeed</t>
        </is>
      </c>
      <c r="D10" s="19" t="n">
        <v>1</v>
      </c>
      <c r="E10" s="21" t="inlineStr">
        <is>
          <t>Getting oriented, system documentation, the command-line assistant and the shell</t>
        </is>
      </c>
      <c r="F10" s="22">
        <f>SemesterStart+7*($D10-1)</f>
        <v/>
      </c>
      <c r="G10" s="22">
        <f>IF($B10=0,"",MIN($F10+7,RevisionCutoff))</f>
        <v/>
      </c>
      <c r="H10" s="22">
        <f>IF(OR($B10=0,$D10&gt;=14),"",MIN($G10+21,RevisionCutoff-13+$D10))</f>
        <v/>
      </c>
      <c r="I10" s="23" t="inlineStr">
        <is>
          <t>Not started</t>
        </is>
      </c>
      <c r="J10" s="23" t="n"/>
      <c r="K10" s="21" t="inlineStr">
        <is>
          <t>Brought forward into week 1 so you have the assistant from the start. You will not have it in the exam.</t>
        </is>
      </c>
    </row>
    <row r="11">
      <c r="A11" s="18" t="inlineStr">
        <is>
          <t>RH124</t>
        </is>
      </c>
      <c r="B11" s="19" t="n">
        <v>6</v>
      </c>
      <c r="C11" s="20" t="inlineStr">
        <is>
          <t>Navigating the File-system Hierarchy</t>
        </is>
      </c>
      <c r="D11" s="19" t="n">
        <v>2</v>
      </c>
      <c r="E11" s="21" t="inlineStr">
        <is>
          <t>Registering systems, the file-system hierarchy and working with files</t>
        </is>
      </c>
      <c r="F11" s="22">
        <f>SemesterStart+7*($D11-1)</f>
        <v/>
      </c>
      <c r="G11" s="22">
        <f>IF($B11=0,"",MIN($F11+7,RevisionCutoff))</f>
        <v/>
      </c>
      <c r="H11" s="22">
        <f>IF(OR($B11=0,$D11&gt;=14),"",MIN($G11+21,RevisionCutoff-13+$D11))</f>
        <v/>
      </c>
      <c r="I11" s="23" t="inlineStr">
        <is>
          <t>Not started</t>
        </is>
      </c>
      <c r="J11" s="23" t="n"/>
      <c r="K11" s="21" t="inlineStr"/>
    </row>
    <row r="12">
      <c r="A12" s="18" t="inlineStr">
        <is>
          <t>RH124</t>
        </is>
      </c>
      <c r="B12" s="19" t="n">
        <v>7</v>
      </c>
      <c r="C12" s="20" t="inlineStr">
        <is>
          <t>Managing Files from the Command Line</t>
        </is>
      </c>
      <c r="D12" s="19" t="n">
        <v>2</v>
      </c>
      <c r="E12" s="21" t="inlineStr">
        <is>
          <t>Registering systems, the file-system hierarchy and working with files</t>
        </is>
      </c>
      <c r="F12" s="22">
        <f>SemesterStart+7*($D12-1)</f>
        <v/>
      </c>
      <c r="G12" s="22">
        <f>IF($B12=0,"",MIN($F12+7,RevisionCutoff))</f>
        <v/>
      </c>
      <c r="H12" s="22">
        <f>IF(OR($B12=0,$D12&gt;=14),"",MIN($G12+21,RevisionCutoff-13+$D12))</f>
        <v/>
      </c>
      <c r="I12" s="23" t="inlineStr">
        <is>
          <t>Not started</t>
        </is>
      </c>
      <c r="J12" s="23" t="n"/>
      <c r="K12" s="21" t="inlineStr"/>
    </row>
    <row r="13">
      <c r="A13" s="18" t="inlineStr">
        <is>
          <t>RH124</t>
        </is>
      </c>
      <c r="B13" s="19" t="n">
        <v>8</v>
      </c>
      <c r="C13" s="20" t="inlineStr">
        <is>
          <t>Editing Text Files</t>
        </is>
      </c>
      <c r="D13" s="19" t="n">
        <v>3</v>
      </c>
      <c r="E13" s="21" t="inlineStr">
        <is>
          <t>Editing text, redirecting output, users and groups</t>
        </is>
      </c>
      <c r="F13" s="22">
        <f>SemesterStart+7*($D13-1)</f>
        <v/>
      </c>
      <c r="G13" s="22">
        <f>IF($B13=0,"",MIN($F13+7,RevisionCutoff))</f>
        <v/>
      </c>
      <c r="H13" s="22">
        <f>IF(OR($B13=0,$D13&gt;=14),"",MIN($G13+21,RevisionCutoff-13+$D13))</f>
        <v/>
      </c>
      <c r="I13" s="23" t="inlineStr">
        <is>
          <t>Not started</t>
        </is>
      </c>
      <c r="J13" s="23" t="n"/>
      <c r="K13" s="21" t="inlineStr"/>
    </row>
    <row r="14">
      <c r="A14" s="18" t="inlineStr">
        <is>
          <t>RH124</t>
        </is>
      </c>
      <c r="B14" s="19" t="n">
        <v>9</v>
      </c>
      <c r="C14" s="20" t="inlineStr">
        <is>
          <t>Redirecting Shell Input and Output</t>
        </is>
      </c>
      <c r="D14" s="19" t="n">
        <v>3</v>
      </c>
      <c r="E14" s="21" t="inlineStr">
        <is>
          <t>Editing text, redirecting output, users and groups</t>
        </is>
      </c>
      <c r="F14" s="22">
        <f>SemesterStart+7*($D14-1)</f>
        <v/>
      </c>
      <c r="G14" s="22">
        <f>IF($B14=0,"",MIN($F14+7,RevisionCutoff))</f>
        <v/>
      </c>
      <c r="H14" s="22">
        <f>IF(OR($B14=0,$D14&gt;=14),"",MIN($G14+21,RevisionCutoff-13+$D14))</f>
        <v/>
      </c>
      <c r="I14" s="23" t="inlineStr">
        <is>
          <t>Not started</t>
        </is>
      </c>
      <c r="J14" s="23" t="n"/>
      <c r="K14" s="21" t="inlineStr"/>
    </row>
    <row r="15">
      <c r="A15" s="18" t="inlineStr">
        <is>
          <t>RH124</t>
        </is>
      </c>
      <c r="B15" s="19" t="n">
        <v>10</v>
      </c>
      <c r="C15" s="20" t="inlineStr">
        <is>
          <t>Managing Local Users and Groups</t>
        </is>
      </c>
      <c r="D15" s="19" t="n">
        <v>3</v>
      </c>
      <c r="E15" s="21" t="inlineStr">
        <is>
          <t>Editing text, redirecting output, users and groups</t>
        </is>
      </c>
      <c r="F15" s="22">
        <f>SemesterStart+7*($D15-1)</f>
        <v/>
      </c>
      <c r="G15" s="22">
        <f>IF($B15=0,"",MIN($F15+7,RevisionCutoff))</f>
        <v/>
      </c>
      <c r="H15" s="22">
        <f>IF(OR($B15=0,$D15&gt;=14),"",MIN($G15+21,RevisionCutoff-13+$D15))</f>
        <v/>
      </c>
      <c r="I15" s="23" t="inlineStr">
        <is>
          <t>Not started</t>
        </is>
      </c>
      <c r="J15" s="23" t="n"/>
      <c r="K15" s="21" t="inlineStr"/>
    </row>
    <row r="16">
      <c r="A16" s="18" t="inlineStr">
        <is>
          <t>RH124</t>
        </is>
      </c>
      <c r="B16" s="19" t="n">
        <v>11</v>
      </c>
      <c r="C16" s="20" t="inlineStr">
        <is>
          <t>Controlling Access to Files</t>
        </is>
      </c>
      <c r="D16" s="19" t="n">
        <v>4</v>
      </c>
      <c r="E16" s="21" t="inlineStr">
        <is>
          <t>File permissions, RPM packages and Flatpak applications</t>
        </is>
      </c>
      <c r="F16" s="22">
        <f>SemesterStart+7*($D16-1)</f>
        <v/>
      </c>
      <c r="G16" s="22">
        <f>IF($B16=0,"",MIN($F16+7,RevisionCutoff))</f>
        <v/>
      </c>
      <c r="H16" s="22">
        <f>IF(OR($B16=0,$D16&gt;=14),"",MIN($G16+21,RevisionCutoff-13+$D16))</f>
        <v/>
      </c>
      <c r="I16" s="23" t="inlineStr">
        <is>
          <t>Not started</t>
        </is>
      </c>
      <c r="J16" s="23" t="n"/>
      <c r="K16" s="21" t="inlineStr"/>
    </row>
    <row r="17">
      <c r="A17" s="18" t="inlineStr">
        <is>
          <t>RH124</t>
        </is>
      </c>
      <c r="B17" s="19" t="n">
        <v>12</v>
      </c>
      <c r="C17" s="20" t="inlineStr">
        <is>
          <t>Installing and Updating Software with RPM</t>
        </is>
      </c>
      <c r="D17" s="19" t="n">
        <v>5</v>
      </c>
      <c r="E17" s="21" t="inlineStr">
        <is>
          <t>Software repositories, Flatpak applications and removable media</t>
        </is>
      </c>
      <c r="F17" s="22">
        <f>SemesterStart+7*($D17-1)</f>
        <v/>
      </c>
      <c r="G17" s="22">
        <f>IF($B17=0,"",MIN($F17+7,RevisionCutoff))</f>
        <v/>
      </c>
      <c r="H17" s="22">
        <f>IF(OR($B17=0,$D17&gt;=14),"",MIN($G17+21,RevisionCutoff-13+$D17))</f>
        <v/>
      </c>
      <c r="I17" s="23" t="inlineStr">
        <is>
          <t>Not started</t>
        </is>
      </c>
      <c r="J17" s="23" t="n"/>
      <c r="K17" s="21" t="inlineStr"/>
    </row>
    <row r="18">
      <c r="A18" s="18" t="inlineStr">
        <is>
          <t>RH124</t>
        </is>
      </c>
      <c r="B18" s="19" t="n">
        <v>13</v>
      </c>
      <c r="C18" s="20" t="inlineStr">
        <is>
          <t>Installing and Updating Applications by Using Flatpak</t>
        </is>
      </c>
      <c r="D18" s="19" t="n">
        <v>5</v>
      </c>
      <c r="E18" s="21" t="inlineStr">
        <is>
          <t>Software repositories, Flatpak applications and removable media</t>
        </is>
      </c>
      <c r="F18" s="22">
        <f>SemesterStart+7*($D18-1)</f>
        <v/>
      </c>
      <c r="G18" s="22">
        <f>IF($B18=0,"",MIN($F18+7,RevisionCutoff))</f>
        <v/>
      </c>
      <c r="H18" s="22">
        <f>IF(OR($B18=0,$D18&gt;=14),"",MIN($G18+21,RevisionCutoff-13+$D18))</f>
        <v/>
      </c>
      <c r="I18" s="23" t="inlineStr">
        <is>
          <t>Not started</t>
        </is>
      </c>
      <c r="J18" s="23" t="n"/>
      <c r="K18" s="21" t="inlineStr"/>
    </row>
    <row r="19">
      <c r="A19" s="18" t="inlineStr">
        <is>
          <t>RH124</t>
        </is>
      </c>
      <c r="B19" s="19" t="n">
        <v>14</v>
      </c>
      <c r="C19" s="20" t="inlineStr">
        <is>
          <t>Accessing Removable Media</t>
        </is>
      </c>
      <c r="D19" s="19" t="n">
        <v>5</v>
      </c>
      <c r="E19" s="21" t="inlineStr">
        <is>
          <t>Software repositories, Flatpak applications and removable media</t>
        </is>
      </c>
      <c r="F19" s="22">
        <f>SemesterStart+7*($D19-1)</f>
        <v/>
      </c>
      <c r="G19" s="22">
        <f>IF($B19=0,"",MIN($F19+7,RevisionCutoff))</f>
        <v/>
      </c>
      <c r="H19" s="22">
        <f>IF(OR($B19=0,$D19&gt;=14),"",MIN($G19+21,RevisionCutoff-13+$D19))</f>
        <v/>
      </c>
      <c r="I19" s="23" t="inlineStr">
        <is>
          <t>Not started</t>
        </is>
      </c>
      <c r="J19" s="23" t="n"/>
      <c r="K19" s="21" t="inlineStr"/>
    </row>
    <row r="20">
      <c r="A20" s="18" t="inlineStr">
        <is>
          <t>RH124</t>
        </is>
      </c>
      <c r="B20" s="19" t="n">
        <v>15</v>
      </c>
      <c r="C20" s="20" t="inlineStr">
        <is>
          <t>Monitoring and Managing Linux Processes</t>
        </is>
      </c>
      <c r="D20" s="19" t="n">
        <v>6</v>
      </c>
      <c r="E20" s="21" t="inlineStr">
        <is>
          <t>Processes, system services and remote access</t>
        </is>
      </c>
      <c r="F20" s="22">
        <f>SemesterStart+7*($D20-1)</f>
        <v/>
      </c>
      <c r="G20" s="22">
        <f>IF($B20=0,"",MIN($F20+7,RevisionCutoff))</f>
        <v/>
      </c>
      <c r="H20" s="22">
        <f>IF(OR($B20=0,$D20&gt;=14),"",MIN($G20+21,RevisionCutoff-13+$D20))</f>
        <v/>
      </c>
      <c r="I20" s="23" t="inlineStr">
        <is>
          <t>Not started</t>
        </is>
      </c>
      <c r="J20" s="23" t="n"/>
      <c r="K20" s="21" t="inlineStr"/>
    </row>
    <row r="21">
      <c r="A21" s="18" t="inlineStr">
        <is>
          <t>RH124</t>
        </is>
      </c>
      <c r="B21" s="19" t="n">
        <v>16</v>
      </c>
      <c r="C21" s="20" t="inlineStr">
        <is>
          <t>Controlling Services and Daemons</t>
        </is>
      </c>
      <c r="D21" s="19" t="n">
        <v>6</v>
      </c>
      <c r="E21" s="21" t="inlineStr">
        <is>
          <t>Processes, system services and remote access</t>
        </is>
      </c>
      <c r="F21" s="22">
        <f>SemesterStart+7*($D21-1)</f>
        <v/>
      </c>
      <c r="G21" s="22">
        <f>IF($B21=0,"",MIN($F21+7,RevisionCutoff))</f>
        <v/>
      </c>
      <c r="H21" s="22">
        <f>IF(OR($B21=0,$D21&gt;=14),"",MIN($G21+21,RevisionCutoff-13+$D21))</f>
        <v/>
      </c>
      <c r="I21" s="23" t="inlineStr">
        <is>
          <t>Not started</t>
        </is>
      </c>
      <c r="J21" s="23" t="n"/>
      <c r="K21" s="21" t="inlineStr"/>
    </row>
    <row r="22">
      <c r="A22" s="18" t="inlineStr">
        <is>
          <t>RH124</t>
        </is>
      </c>
      <c r="B22" s="19" t="n">
        <v>17</v>
      </c>
      <c r="C22" s="20" t="inlineStr">
        <is>
          <t>Introduction to Networking</t>
        </is>
      </c>
      <c r="D22" s="19" t="n">
        <v>7</v>
      </c>
      <c r="E22" s="21" t="inlineStr">
        <is>
          <t>Network configuration, name resolution and secure remote access</t>
        </is>
      </c>
      <c r="F22" s="22">
        <f>SemesterStart+7*($D22-1)</f>
        <v/>
      </c>
      <c r="G22" s="22">
        <f>IF($B22=0,"",MIN($F22+7,RevisionCutoff))</f>
        <v/>
      </c>
      <c r="H22" s="22">
        <f>IF(OR($B22=0,$D22&gt;=14),"",MIN($G22+21,RevisionCutoff-13+$D22))</f>
        <v/>
      </c>
      <c r="I22" s="23" t="inlineStr">
        <is>
          <t>Not started</t>
        </is>
      </c>
      <c r="J22" s="23" t="n"/>
      <c r="K22" s="21" t="inlineStr"/>
    </row>
    <row r="23">
      <c r="A23" s="18" t="inlineStr">
        <is>
          <t>RH124</t>
        </is>
      </c>
      <c r="B23" s="19" t="n">
        <v>18</v>
      </c>
      <c r="C23" s="20" t="inlineStr">
        <is>
          <t>Managing Network Configuration</t>
        </is>
      </c>
      <c r="D23" s="19" t="n">
        <v>7</v>
      </c>
      <c r="E23" s="21" t="inlineStr">
        <is>
          <t>Network configuration, name resolution and secure remote access</t>
        </is>
      </c>
      <c r="F23" s="22">
        <f>SemesterStart+7*($D23-1)</f>
        <v/>
      </c>
      <c r="G23" s="22">
        <f>IF($B23=0,"",MIN($F23+7,RevisionCutoff))</f>
        <v/>
      </c>
      <c r="H23" s="22">
        <f>IF(OR($B23=0,$D23&gt;=14),"",MIN($G23+21,RevisionCutoff-13+$D23))</f>
        <v/>
      </c>
      <c r="I23" s="23" t="inlineStr">
        <is>
          <t>Not started</t>
        </is>
      </c>
      <c r="J23" s="23" t="n"/>
      <c r="K23" s="21" t="inlineStr"/>
    </row>
    <row r="24">
      <c r="A24" s="18" t="inlineStr">
        <is>
          <t>RH124</t>
        </is>
      </c>
      <c r="B24" s="19" t="n">
        <v>19</v>
      </c>
      <c r="C24" s="20" t="inlineStr">
        <is>
          <t>Configuring and Securing SSH</t>
        </is>
      </c>
      <c r="D24" s="19" t="n">
        <v>7</v>
      </c>
      <c r="E24" s="21" t="inlineStr">
        <is>
          <t>Network configuration, name resolution and secure remote access</t>
        </is>
      </c>
      <c r="F24" s="22">
        <f>SemesterStart+7*($D24-1)</f>
        <v/>
      </c>
      <c r="G24" s="22">
        <f>IF($B24=0,"",MIN($F24+7,RevisionCutoff))</f>
        <v/>
      </c>
      <c r="H24" s="22">
        <f>IF(OR($B24=0,$D24&gt;=14),"",MIN($G24+21,RevisionCutoff-13+$D24))</f>
        <v/>
      </c>
      <c r="I24" s="23" t="inlineStr">
        <is>
          <t>Not started</t>
        </is>
      </c>
      <c r="J24" s="23" t="n"/>
      <c r="K24" s="21" t="inlineStr"/>
    </row>
    <row r="25">
      <c r="A25" s="18" t="inlineStr">
        <is>
          <t>RH124</t>
        </is>
      </c>
      <c r="B25" s="19" t="n">
        <v>20</v>
      </c>
      <c r="C25" s="20" t="inlineStr">
        <is>
          <t>Comprehensive Review</t>
        </is>
      </c>
      <c r="D25" s="19" t="n">
        <v>14</v>
      </c>
      <c r="E25" s="21" t="inlineStr">
        <is>
          <t>Revision week. Objective by objective, with both comprehensive reviews open to you.</t>
        </is>
      </c>
      <c r="F25" s="22">
        <f>SemesterStart+7*($D25-1)</f>
        <v/>
      </c>
      <c r="G25" s="22">
        <f>IF($B25=0,"",MIN($F25+7,RevisionCutoff))</f>
        <v/>
      </c>
      <c r="H25" s="22">
        <f>IF(OR($B25=0,$D25&gt;=14),"",MIN($G25+21,RevisionCutoff-13+$D25))</f>
        <v/>
      </c>
      <c r="I25" s="23" t="inlineStr">
        <is>
          <t>Not started</t>
        </is>
      </c>
      <c r="J25" s="23" t="n"/>
      <c r="K25" s="21" t="inlineStr">
        <is>
          <t>Five review labs. Open to you from week 7, so start earlier if you can.</t>
        </is>
      </c>
    </row>
    <row r="26">
      <c r="A26" s="24" t="inlineStr">
        <is>
          <t>RH134</t>
        </is>
      </c>
      <c r="B26" s="25" t="n">
        <v>0</v>
      </c>
      <c r="C26" s="26" t="inlineStr">
        <is>
          <t>Preface - Introduction</t>
        </is>
      </c>
      <c r="D26" s="25" t="n">
        <v>7</v>
      </c>
      <c r="E26" s="27" t="inlineStr">
        <is>
          <t>Network configuration, name resolution and secure remote access</t>
        </is>
      </c>
      <c r="F26" s="28">
        <f>SemesterStart+7*($D26-1)</f>
        <v/>
      </c>
      <c r="G26" s="28">
        <f>IF($B26=0,"",MIN($F26+7,RevisionCutoff))</f>
        <v/>
      </c>
      <c r="H26" s="28">
        <f>IF(OR($B26=0,$D26&gt;=14),"",MIN($G26+21,RevisionCutoff-13+$D26))</f>
        <v/>
      </c>
      <c r="I26" s="29" t="inlineStr">
        <is>
          <t>Not started</t>
        </is>
      </c>
      <c r="J26" s="29" t="n"/>
      <c r="K26" s="27" t="inlineStr">
        <is>
          <t>Not scheduled. It orients you to a self-paced Red Hat course. Skim it and move on.</t>
        </is>
      </c>
    </row>
    <row r="27">
      <c r="A27" s="18" t="inlineStr">
        <is>
          <t>RH134</t>
        </is>
      </c>
      <c r="B27" s="19" t="n">
        <v>1</v>
      </c>
      <c r="C27" s="20" t="inlineStr">
        <is>
          <t>Shell Scripting and the Command Line</t>
        </is>
      </c>
      <c r="D27" s="19" t="n">
        <v>8</v>
      </c>
      <c r="E27" s="21" t="inlineStr">
        <is>
          <t>Shell scripts, regular expressions and scheduled user tasks</t>
        </is>
      </c>
      <c r="F27" s="22">
        <f>SemesterStart+7*($D27-1)</f>
        <v/>
      </c>
      <c r="G27" s="22">
        <f>IF($B27=0,"",MIN($F27+7,RevisionCutoff))</f>
        <v/>
      </c>
      <c r="H27" s="22">
        <f>IF(OR($B27=0,$D27&gt;=14),"",MIN($G27+21,RevisionCutoff-13+$D27))</f>
        <v/>
      </c>
      <c r="I27" s="23" t="inlineStr">
        <is>
          <t>Not started</t>
        </is>
      </c>
      <c r="J27" s="23" t="n"/>
      <c r="K27" s="21" t="inlineStr"/>
    </row>
    <row r="28">
      <c r="A28" s="18" t="inlineStr">
        <is>
          <t>RH134</t>
        </is>
      </c>
      <c r="B28" s="19" t="n">
        <v>2</v>
      </c>
      <c r="C28" s="20" t="inlineStr">
        <is>
          <t>Using Regular Expressions for Practical Applications</t>
        </is>
      </c>
      <c r="D28" s="19" t="n">
        <v>8</v>
      </c>
      <c r="E28" s="21" t="inlineStr">
        <is>
          <t>Shell scripts, regular expressions and scheduled user tasks</t>
        </is>
      </c>
      <c r="F28" s="22">
        <f>SemesterStart+7*($D28-1)</f>
        <v/>
      </c>
      <c r="G28" s="22">
        <f>IF($B28=0,"",MIN($F28+7,RevisionCutoff))</f>
        <v/>
      </c>
      <c r="H28" s="22">
        <f>IF(OR($B28=0,$D28&gt;=14),"",MIN($G28+21,RevisionCutoff-13+$D28))</f>
        <v/>
      </c>
      <c r="I28" s="23" t="inlineStr">
        <is>
          <t>Not started</t>
        </is>
      </c>
      <c r="J28" s="23" t="n"/>
      <c r="K28" s="21" t="inlineStr"/>
    </row>
    <row r="29">
      <c r="A29" s="18" t="inlineStr">
        <is>
          <t>RH134</t>
        </is>
      </c>
      <c r="B29" s="19" t="n">
        <v>3</v>
      </c>
      <c r="C29" s="20" t="inlineStr">
        <is>
          <t>Scheduling User Tasks</t>
        </is>
      </c>
      <c r="D29" s="19" t="n">
        <v>8</v>
      </c>
      <c r="E29" s="21" t="inlineStr">
        <is>
          <t>Shell scripts, regular expressions and scheduled user tasks</t>
        </is>
      </c>
      <c r="F29" s="22">
        <f>SemesterStart+7*($D29-1)</f>
        <v/>
      </c>
      <c r="G29" s="22">
        <f>IF($B29=0,"",MIN($F29+7,RevisionCutoff))</f>
        <v/>
      </c>
      <c r="H29" s="22">
        <f>IF(OR($B29=0,$D29&gt;=14),"",MIN($G29+21,RevisionCutoff-13+$D29))</f>
        <v/>
      </c>
      <c r="I29" s="23" t="inlineStr">
        <is>
          <t>Not started</t>
        </is>
      </c>
      <c r="J29" s="23" t="n"/>
      <c r="K29" s="21" t="inlineStr"/>
    </row>
    <row r="30">
      <c r="A30" s="18" t="inlineStr">
        <is>
          <t>RH134</t>
        </is>
      </c>
      <c r="B30" s="19" t="n">
        <v>4</v>
      </c>
      <c r="C30" s="20" t="inlineStr">
        <is>
          <t>Scheduling System Tasks</t>
        </is>
      </c>
      <c r="D30" s="19" t="n">
        <v>9</v>
      </c>
      <c r="E30" s="21" t="inlineStr">
        <is>
          <t>Recurring system tasks, logs, journals and keeping time</t>
        </is>
      </c>
      <c r="F30" s="22">
        <f>SemesterStart+7*($D30-1)</f>
        <v/>
      </c>
      <c r="G30" s="22">
        <f>IF($B30=0,"",MIN($F30+7,RevisionCutoff))</f>
        <v/>
      </c>
      <c r="H30" s="22">
        <f>IF(OR($B30=0,$D30&gt;=14),"",MIN($G30+21,RevisionCutoff-13+$D30))</f>
        <v/>
      </c>
      <c r="I30" s="23" t="inlineStr">
        <is>
          <t>Not started</t>
        </is>
      </c>
      <c r="J30" s="23" t="n"/>
      <c r="K30" s="21" t="inlineStr"/>
    </row>
    <row r="31">
      <c r="A31" s="18" t="inlineStr">
        <is>
          <t>RH134</t>
        </is>
      </c>
      <c r="B31" s="19" t="n">
        <v>5</v>
      </c>
      <c r="C31" s="20" t="inlineStr">
        <is>
          <t>Analyzing and Storing Logs</t>
        </is>
      </c>
      <c r="D31" s="19" t="n">
        <v>9</v>
      </c>
      <c r="E31" s="21" t="inlineStr">
        <is>
          <t>Recurring system tasks, logs, journals and keeping time</t>
        </is>
      </c>
      <c r="F31" s="22">
        <f>SemesterStart+7*($D31-1)</f>
        <v/>
      </c>
      <c r="G31" s="22">
        <f>IF($B31=0,"",MIN($F31+7,RevisionCutoff))</f>
        <v/>
      </c>
      <c r="H31" s="22">
        <f>IF(OR($B31=0,$D31&gt;=14),"",MIN($G31+21,RevisionCutoff-13+$D31))</f>
        <v/>
      </c>
      <c r="I31" s="23" t="inlineStr">
        <is>
          <t>Not started</t>
        </is>
      </c>
      <c r="J31" s="23" t="n"/>
      <c r="K31" s="21" t="inlineStr"/>
    </row>
    <row r="32">
      <c r="A32" s="18" t="inlineStr">
        <is>
          <t>RH134</t>
        </is>
      </c>
      <c r="B32" s="19" t="n">
        <v>6</v>
      </c>
      <c r="C32" s="20" t="inlineStr">
        <is>
          <t>Managing Security with SELinux</t>
        </is>
      </c>
      <c r="D32" s="19" t="n">
        <v>10</v>
      </c>
      <c r="E32" s="21" t="inlineStr">
        <is>
          <t>SELinux, archives, secure file transfer and tuning profiles</t>
        </is>
      </c>
      <c r="F32" s="22">
        <f>SemesterStart+7*($D32-1)</f>
        <v/>
      </c>
      <c r="G32" s="22">
        <f>IF($B32=0,"",MIN($F32+7,RevisionCutoff))</f>
        <v/>
      </c>
      <c r="H32" s="22">
        <f>IF(OR($B32=0,$D32&gt;=14),"",MIN($G32+21,RevisionCutoff-13+$D32))</f>
        <v/>
      </c>
      <c r="I32" s="23" t="inlineStr">
        <is>
          <t>Not started</t>
        </is>
      </c>
      <c r="J32" s="23" t="n"/>
      <c r="K32" s="21" t="inlineStr">
        <is>
          <t>Hardest third of the module starts here. Weeks 10 to 13 deserve the most revision time.</t>
        </is>
      </c>
    </row>
    <row r="33">
      <c r="A33" s="18" t="inlineStr">
        <is>
          <t>RH134</t>
        </is>
      </c>
      <c r="B33" s="19" t="n">
        <v>7</v>
      </c>
      <c r="C33" s="20" t="inlineStr">
        <is>
          <t>Archiving Files</t>
        </is>
      </c>
      <c r="D33" s="19" t="n">
        <v>10</v>
      </c>
      <c r="E33" s="21" t="inlineStr">
        <is>
          <t>SELinux, archives, secure file transfer and tuning profiles</t>
        </is>
      </c>
      <c r="F33" s="22">
        <f>SemesterStart+7*($D33-1)</f>
        <v/>
      </c>
      <c r="G33" s="22">
        <f>IF($B33=0,"",MIN($F33+7,RevisionCutoff))</f>
        <v/>
      </c>
      <c r="H33" s="22">
        <f>IF(OR($B33=0,$D33&gt;=14),"",MIN($G33+21,RevisionCutoff-13+$D33))</f>
        <v/>
      </c>
      <c r="I33" s="23" t="inlineStr">
        <is>
          <t>Not started</t>
        </is>
      </c>
      <c r="J33" s="23" t="n"/>
      <c r="K33" s="21" t="inlineStr"/>
    </row>
    <row r="34">
      <c r="A34" s="18" t="inlineStr">
        <is>
          <t>RH134</t>
        </is>
      </c>
      <c r="B34" s="19" t="n">
        <v>8</v>
      </c>
      <c r="C34" s="20" t="inlineStr">
        <is>
          <t>Transferring Files</t>
        </is>
      </c>
      <c r="D34" s="19" t="n">
        <v>10</v>
      </c>
      <c r="E34" s="21" t="inlineStr">
        <is>
          <t>SELinux, archives, secure file transfer and tuning profiles</t>
        </is>
      </c>
      <c r="F34" s="22">
        <f>SemesterStart+7*($D34-1)</f>
        <v/>
      </c>
      <c r="G34" s="22">
        <f>IF($B34=0,"",MIN($F34+7,RevisionCutoff))</f>
        <v/>
      </c>
      <c r="H34" s="22">
        <f>IF(OR($B34=0,$D34&gt;=14),"",MIN($G34+21,RevisionCutoff-13+$D34))</f>
        <v/>
      </c>
      <c r="I34" s="23" t="inlineStr">
        <is>
          <t>Not started</t>
        </is>
      </c>
      <c r="J34" s="23" t="n"/>
      <c r="K34" s="21" t="inlineStr"/>
    </row>
    <row r="35">
      <c r="A35" s="18" t="inlineStr">
        <is>
          <t>RH134</t>
        </is>
      </c>
      <c r="B35" s="19" t="n">
        <v>9</v>
      </c>
      <c r="C35" s="20" t="inlineStr">
        <is>
          <t>Tuning System Performance</t>
        </is>
      </c>
      <c r="D35" s="19" t="n">
        <v>10</v>
      </c>
      <c r="E35" s="21" t="inlineStr">
        <is>
          <t>SELinux, archives, secure file transfer and tuning profiles</t>
        </is>
      </c>
      <c r="F35" s="22">
        <f>SemesterStart+7*($D35-1)</f>
        <v/>
      </c>
      <c r="G35" s="22">
        <f>IF($B35=0,"",MIN($F35+7,RevisionCutoff))</f>
        <v/>
      </c>
      <c r="H35" s="22">
        <f>IF(OR($B35=0,$D35&gt;=14),"",MIN($G35+21,RevisionCutoff-13+$D35))</f>
        <v/>
      </c>
      <c r="I35" s="23" t="inlineStr">
        <is>
          <t>Not started</t>
        </is>
      </c>
      <c r="J35" s="23" t="n"/>
      <c r="K35" s="21" t="inlineStr"/>
    </row>
    <row r="36">
      <c r="A36" s="18" t="inlineStr">
        <is>
          <t>RH134</t>
        </is>
      </c>
      <c r="B36" s="19" t="n">
        <v>10</v>
      </c>
      <c r="C36" s="20" t="inlineStr">
        <is>
          <t>Managing Basic Storage</t>
        </is>
      </c>
      <c r="D36" s="19" t="n">
        <v>11</v>
      </c>
      <c r="E36" s="21" t="inlineStr">
        <is>
          <t>Partitions, swap and logical volumes</t>
        </is>
      </c>
      <c r="F36" s="22">
        <f>SemesterStart+7*($D36-1)</f>
        <v/>
      </c>
      <c r="G36" s="22">
        <f>IF($B36=0,"",MIN($F36+7,RevisionCutoff))</f>
        <v/>
      </c>
      <c r="H36" s="22">
        <f>IF(OR($B36=0,$D36&gt;=14),"",MIN($G36+21,RevisionCutoff-13+$D36))</f>
        <v/>
      </c>
      <c r="I36" s="23" t="inlineStr">
        <is>
          <t>Not started</t>
        </is>
      </c>
      <c r="J36" s="23" t="n"/>
      <c r="K36" s="21" t="inlineStr"/>
    </row>
    <row r="37">
      <c r="A37" s="18" t="inlineStr">
        <is>
          <t>RH134</t>
        </is>
      </c>
      <c r="B37" s="19" t="n">
        <v>11</v>
      </c>
      <c r="C37" s="20" t="inlineStr">
        <is>
          <t>Managing Storage with Logical Volume Manager</t>
        </is>
      </c>
      <c r="D37" s="19" t="n">
        <v>11</v>
      </c>
      <c r="E37" s="21" t="inlineStr">
        <is>
          <t>Partitions, swap and logical volumes</t>
        </is>
      </c>
      <c r="F37" s="22">
        <f>SemesterStart+7*($D37-1)</f>
        <v/>
      </c>
      <c r="G37" s="22">
        <f>IF($B37=0,"",MIN($F37+7,RevisionCutoff))</f>
        <v/>
      </c>
      <c r="H37" s="22">
        <f>IF(OR($B37=0,$D37&gt;=14),"",MIN($G37+21,RevisionCutoff-13+$D37))</f>
        <v/>
      </c>
      <c r="I37" s="23" t="inlineStr">
        <is>
          <t>Not started</t>
        </is>
      </c>
      <c r="J37" s="23" t="n"/>
      <c r="K37" s="21" t="inlineStr"/>
    </row>
    <row r="38">
      <c r="A38" s="18" t="inlineStr">
        <is>
          <t>RH134</t>
        </is>
      </c>
      <c r="B38" s="19" t="n">
        <v>12</v>
      </c>
      <c r="C38" s="20" t="inlineStr">
        <is>
          <t>Controlling and Troubleshooting the Boot Process</t>
        </is>
      </c>
      <c r="D38" s="19" t="n">
        <v>12</v>
      </c>
      <c r="E38" s="21" t="inlineStr">
        <is>
          <t>Booting, troubleshooting and firewalls</t>
        </is>
      </c>
      <c r="F38" s="22">
        <f>SemesterStart+7*($D38-1)</f>
        <v/>
      </c>
      <c r="G38" s="22">
        <f>IF($B38=0,"",MIN($F38+7,RevisionCutoff))</f>
        <v/>
      </c>
      <c r="H38" s="22">
        <f>IF(OR($B38=0,$D38&gt;=14),"",MIN($G38+21,RevisionCutoff-13+$D38))</f>
        <v/>
      </c>
      <c r="I38" s="23" t="inlineStr">
        <is>
          <t>Not started</t>
        </is>
      </c>
      <c r="J38" s="23" t="n"/>
      <c r="K38" s="21" t="inlineStr"/>
    </row>
    <row r="39">
      <c r="A39" s="18" t="inlineStr">
        <is>
          <t>RH134</t>
        </is>
      </c>
      <c r="B39" s="19" t="n">
        <v>13</v>
      </c>
      <c r="C39" s="20" t="inlineStr">
        <is>
          <t>Recovering Superuser Access</t>
        </is>
      </c>
      <c r="D39" s="19" t="n">
        <v>12</v>
      </c>
      <c r="E39" s="21" t="inlineStr">
        <is>
          <t>Booting, troubleshooting and firewalls</t>
        </is>
      </c>
      <c r="F39" s="22">
        <f>SemesterStart+7*($D39-1)</f>
        <v/>
      </c>
      <c r="G39" s="22">
        <f>IF($B39=0,"",MIN($F39+7,RevisionCutoff))</f>
        <v/>
      </c>
      <c r="H39" s="22">
        <f>IF(OR($B39=0,$D39&gt;=14),"",MIN($G39+21,RevisionCutoff-13+$D39))</f>
        <v/>
      </c>
      <c r="I39" s="23" t="inlineStr">
        <is>
          <t>Not started</t>
        </is>
      </c>
      <c r="J39" s="23" t="n"/>
      <c r="K39" s="21" t="inlineStr"/>
    </row>
    <row r="40">
      <c r="A40" s="18" t="inlineStr">
        <is>
          <t>RH134</t>
        </is>
      </c>
      <c r="B40" s="19" t="n">
        <v>14</v>
      </c>
      <c r="C40" s="20" t="inlineStr">
        <is>
          <t>Managing Network Security</t>
        </is>
      </c>
      <c r="D40" s="19" t="n">
        <v>12</v>
      </c>
      <c r="E40" s="21" t="inlineStr">
        <is>
          <t>Booting, troubleshooting and firewalls</t>
        </is>
      </c>
      <c r="F40" s="22">
        <f>SemesterStart+7*($D40-1)</f>
        <v/>
      </c>
      <c r="G40" s="22">
        <f>IF($B40=0,"",MIN($F40+7,RevisionCutoff))</f>
        <v/>
      </c>
      <c r="H40" s="22">
        <f>IF(OR($B40=0,$D40&gt;=14),"",MIN($G40+21,RevisionCutoff-13+$D40))</f>
        <v/>
      </c>
      <c r="I40" s="23" t="inlineStr">
        <is>
          <t>Not started</t>
        </is>
      </c>
      <c r="J40" s="23" t="n"/>
      <c r="K40" s="21" t="inlineStr"/>
    </row>
    <row r="41">
      <c r="A41" s="18" t="inlineStr">
        <is>
          <t>RH134</t>
        </is>
      </c>
      <c r="B41" s="19" t="n">
        <v>15</v>
      </c>
      <c r="C41" s="20" t="inlineStr">
        <is>
          <t>Accessing Network-attached Storage</t>
        </is>
      </c>
      <c r="D41" s="19" t="n">
        <v>13</v>
      </c>
      <c r="E41" s="21" t="inlineStr">
        <is>
          <t>Network file systems, installation, containers and image mode</t>
        </is>
      </c>
      <c r="F41" s="22">
        <f>SemesterStart+7*($D41-1)</f>
        <v/>
      </c>
      <c r="G41" s="22">
        <f>IF($B41=0,"",MIN($F41+7,RevisionCutoff))</f>
        <v/>
      </c>
      <c r="H41" s="22">
        <f>IF(OR($B41=0,$D41&gt;=14),"",MIN($G41+21,RevisionCutoff-13+$D41))</f>
        <v/>
      </c>
      <c r="I41" s="23" t="inlineStr">
        <is>
          <t>Not started</t>
        </is>
      </c>
      <c r="J41" s="23" t="n"/>
      <c r="K41" s="21" t="inlineStr"/>
    </row>
    <row r="42">
      <c r="A42" s="18" t="inlineStr">
        <is>
          <t>RH134</t>
        </is>
      </c>
      <c r="B42" s="19" t="n">
        <v>16</v>
      </c>
      <c r="C42" s="20" t="inlineStr">
        <is>
          <t>Installing Red Hat Enterprise Linux</t>
        </is>
      </c>
      <c r="D42" s="19" t="n">
        <v>13</v>
      </c>
      <c r="E42" s="21" t="inlineStr">
        <is>
          <t>Network file systems, installation, containers and image mode</t>
        </is>
      </c>
      <c r="F42" s="22">
        <f>SemesterStart+7*($D42-1)</f>
        <v/>
      </c>
      <c r="G42" s="22">
        <f>IF($B42=0,"",MIN($F42+7,RevisionCutoff))</f>
        <v/>
      </c>
      <c r="H42" s="22">
        <f>IF(OR($B42=0,$D42&gt;=14),"",MIN($G42+21,RevisionCutoff-13+$D42))</f>
        <v/>
      </c>
      <c r="I42" s="23" t="inlineStr">
        <is>
          <t>Not started</t>
        </is>
      </c>
      <c r="J42" s="23" t="n"/>
      <c r="K42" s="21" t="inlineStr">
        <is>
          <t>No objective matches it. Cover the chapters the exam asks for first.</t>
        </is>
      </c>
    </row>
    <row r="43">
      <c r="A43" s="18" t="inlineStr">
        <is>
          <t>RH134</t>
        </is>
      </c>
      <c r="B43" s="19" t="n">
        <v>17</v>
      </c>
      <c r="C43" s="20" t="inlineStr">
        <is>
          <t>Managing Containers with Podman</t>
        </is>
      </c>
      <c r="D43" s="19" t="n">
        <v>13</v>
      </c>
      <c r="E43" s="21" t="inlineStr">
        <is>
          <t>Network file systems, installation, containers and image mode</t>
        </is>
      </c>
      <c r="F43" s="22">
        <f>SemesterStart+7*($D43-1)</f>
        <v/>
      </c>
      <c r="G43" s="22">
        <f>IF($B43=0,"",MIN($F43+7,RevisionCutoff))</f>
        <v/>
      </c>
      <c r="H43" s="22">
        <f>IF(OR($B43=0,$D43&gt;=14),"",MIN($G43+21,RevisionCutoff-13+$D43))</f>
        <v/>
      </c>
      <c r="I43" s="23" t="inlineStr">
        <is>
          <t>Not started</t>
        </is>
      </c>
      <c r="J43" s="23" t="n"/>
      <c r="K43" s="21" t="inlineStr">
        <is>
          <t>No objective matches it. Cover the chapters the exam asks for first.</t>
        </is>
      </c>
    </row>
    <row r="44">
      <c r="A44" s="18" t="inlineStr">
        <is>
          <t>RH134</t>
        </is>
      </c>
      <c r="B44" s="19" t="n">
        <v>18</v>
      </c>
      <c r="C44" s="20" t="inlineStr">
        <is>
          <t>Working with Image-based Red Hat Enterprise Linux</t>
        </is>
      </c>
      <c r="D44" s="19" t="n">
        <v>13</v>
      </c>
      <c r="E44" s="21" t="inlineStr">
        <is>
          <t>Network file systems, installation, containers and image mode</t>
        </is>
      </c>
      <c r="F44" s="22">
        <f>SemesterStart+7*($D44-1)</f>
        <v/>
      </c>
      <c r="G44" s="22">
        <f>IF($B44=0,"",MIN($F44+7,RevisionCutoff))</f>
        <v/>
      </c>
      <c r="H44" s="22">
        <f>IF(OR($B44=0,$D44&gt;=14),"",MIN($G44+21,RevisionCutoff-13+$D44))</f>
        <v/>
      </c>
      <c r="I44" s="23" t="inlineStr">
        <is>
          <t>Not started</t>
        </is>
      </c>
      <c r="J44" s="23" t="n"/>
      <c r="K44" s="21" t="inlineStr">
        <is>
          <t>No objective matches it. Cover the chapters the exam asks for first.</t>
        </is>
      </c>
    </row>
    <row r="45">
      <c r="A45" s="18" t="inlineStr">
        <is>
          <t>RH134</t>
        </is>
      </c>
      <c r="B45" s="19" t="n">
        <v>19</v>
      </c>
      <c r="C45" s="20" t="inlineStr">
        <is>
          <t>Comprehensive Review</t>
        </is>
      </c>
      <c r="D45" s="19" t="n">
        <v>14</v>
      </c>
      <c r="E45" s="21" t="inlineStr">
        <is>
          <t>Revision week. Objective by objective, with both comprehensive reviews open to you.</t>
        </is>
      </c>
      <c r="F45" s="22">
        <f>SemesterStart+7*($D45-1)</f>
        <v/>
      </c>
      <c r="G45" s="22">
        <f>IF($B45=0,"",MIN($F45+7,RevisionCutoff))</f>
        <v/>
      </c>
      <c r="H45" s="22">
        <f>IF(OR($B45=0,$D45&gt;=14),"",MIN($G45+21,RevisionCutoff-13+$D45))</f>
        <v/>
      </c>
      <c r="I45" s="23" t="inlineStr">
        <is>
          <t>Not started</t>
        </is>
      </c>
      <c r="J45" s="23" t="n"/>
      <c r="K45" s="21" t="inlineStr">
        <is>
          <t>Labs 19.02 and 19.04 are open from week 12. Labs 19.03 and 19.05 rest on week 13 material.</t>
        </is>
      </c>
    </row>
  </sheetData>
  <autoFilter ref="A4:K45"/>
  <mergeCells count="2">
    <mergeCell ref="A2:K2"/>
    <mergeCell ref="A1:K1"/>
  </mergeCells>
  <conditionalFormatting sqref="F5:H45">
    <cfRule type="expression" priority="1" dxfId="1">
      <formula>AND(ISNUMBER(F5),F5&lt;TODAY(),$I5&lt;&gt;"Done")</formula>
    </cfRule>
    <cfRule type="expression" priority="2" dxfId="2">
      <formula>AND(ISNUMBER(F5),F5&gt;=TODAY(),F5&lt;=TODAY()+7,$I5&lt;&gt;"Done")</formula>
    </cfRule>
  </conditionalFormatting>
  <conditionalFormatting sqref="A5:K45">
    <cfRule type="expression" priority="3" dxfId="3">
      <formula>$I5="Done"</formula>
    </cfRule>
  </conditionalFormatting>
  <conditionalFormatting sqref="J5:J45">
    <cfRule type="expression" priority="4" dxfId="4">
      <formula>OR($J5="1 Shaky",$J5="2 Patchy")</formula>
    </cfRule>
  </conditionalFormatting>
  <dataValidations count="2">
    <dataValidation sqref="I5:I45" showDropDown="0" showInputMessage="0" showErrorMessage="1" allowBlank="1" errorTitle="Use the dropdown" error="Pick one of the three values from the list." type="list">
      <formula1>"Not started,In progress,Done"</formula1>
    </dataValidation>
    <dataValidation sqref="J5:J45" showDropDown="0" showInputMessage="0" showErrorMessage="1" allowBlank="1" errorTitle="Use the dropdown" error="Pick one of the five values from the list." type="list">
      <formula1>"1 Shaky,2 Patchy,3 OK,4 Solid,5 Exam ready"</formula1>
    </dataValidation>
  </dataValidations>
  <printOptions horizontalCentered="1"/>
  <pageMargins left="0.4" right="0.4" top="0.5" bottom="0.5" header="0.5" footer="0.5"/>
  <pageSetup orientation="landscape" paperSize="9" fitToHeight="0" fitToWidth="1"/>
</worksheet>
</file>

<file path=xl/worksheets/sheet3.xml><?xml version="1.0" encoding="utf-8"?>
<worksheet xmlns="http://schemas.openxmlformats.org/spreadsheetml/2006/main">
  <sheetPr>
    <tabColor rgb="000679A8"/>
    <outlinePr summaryBelow="1" summaryRight="1"/>
    <pageSetUpPr fitToPage="1"/>
  </sheetPr>
  <dimension ref="A1:I2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50" customWidth="1" min="2" max="2"/>
    <col width="8" customWidth="1" min="3" max="3"/>
    <col width="13" customWidth="1" min="4" max="4"/>
    <col width="11" customWidth="1" min="5" max="5"/>
    <col width="34" customWidth="1" min="6" max="6"/>
    <col width="28" customWidth="1" min="7" max="7"/>
    <col width="14" customWidth="1" min="8" max="8"/>
    <col width="30" customWidth="1" min="9" max="9"/>
  </cols>
  <sheetData>
    <row r="1" ht="34" customHeight="1">
      <c r="A1" s="1" t="inlineStr">
        <is>
          <t>Practice challenges</t>
        </is>
      </c>
      <c r="B1" s="2" t="n"/>
      <c r="C1" s="2" t="n"/>
      <c r="D1" s="2" t="n"/>
      <c r="E1" s="2" t="n"/>
      <c r="F1" s="2" t="n"/>
      <c r="G1" s="2" t="n"/>
      <c r="H1" s="2" t="n"/>
      <c r="I1" s="2" t="n"/>
    </row>
    <row r="2" ht="20" customHeight="1">
      <c r="A2" s="3" t="inlineStr">
        <is>
          <t>Optional. None of it is required for ICT257. Do the chapter labs and the guided exercises first, then come here to find out whether you can reach a result with nothing open in front of you.</t>
        </is>
      </c>
    </row>
    <row r="3" ht="8" customHeight="1"/>
    <row r="4" ht="30" customHeight="1">
      <c r="A4" s="17" t="inlineStr">
        <is>
          <t>#</t>
        </is>
      </c>
      <c r="B4" s="17" t="inlineStr">
        <is>
          <t>Challenge</t>
        </is>
      </c>
      <c r="C4" s="17" t="inlineStr">
        <is>
          <t>Ready in</t>
        </is>
      </c>
      <c r="D4" s="17" t="inlineStr">
        <is>
          <t>Ready date</t>
        </is>
      </c>
      <c r="E4" s="17" t="inlineStr">
        <is>
          <t>Difficulty</t>
        </is>
      </c>
      <c r="F4" s="17" t="inlineStr">
        <is>
          <t>Objectives</t>
        </is>
      </c>
      <c r="G4" s="17" t="inlineStr">
        <is>
          <t>Prepare with</t>
        </is>
      </c>
      <c r="H4" s="17" t="inlineStr">
        <is>
          <t>Status</t>
        </is>
      </c>
      <c r="I4" s="17" t="inlineStr">
        <is>
          <t>Notes</t>
        </is>
      </c>
    </row>
    <row r="5">
      <c r="A5" s="19" t="n">
        <v>1</v>
      </c>
      <c r="B5" s="20" t="inlineStr">
        <is>
          <t>The pool of tears, and another beside it</t>
        </is>
      </c>
      <c r="C5" s="30" t="inlineStr">
        <is>
          <t>week 3</t>
        </is>
      </c>
      <c r="D5" s="22">
        <f>SemesterStart+7*(3-1)</f>
        <v/>
      </c>
      <c r="E5" s="19" t="inlineStr">
        <is>
          <t>Doable</t>
        </is>
      </c>
      <c r="F5" s="21" t="inlineStr">
        <is>
          <t>RHCSA-1.2, 1.1</t>
        </is>
      </c>
      <c r="G5" s="31" t="inlineStr">
        <is>
          <t>nothing</t>
        </is>
      </c>
      <c r="H5" s="20" t="inlineStr">
        <is>
          <t>Not started</t>
        </is>
      </c>
      <c r="I5" s="21" t="n"/>
    </row>
    <row r="6">
      <c r="A6" s="19" t="n">
        <v>2</v>
      </c>
      <c r="B6" s="20" t="inlineStr">
        <is>
          <t>A small door, and one sentence from the Queen</t>
        </is>
      </c>
      <c r="C6" s="30" t="inlineStr">
        <is>
          <t>week 4</t>
        </is>
      </c>
      <c r="D6" s="22">
        <f>SemesterStart+7*(4-1)</f>
        <v/>
      </c>
      <c r="E6" s="19" t="inlineStr">
        <is>
          <t>Moderate</t>
        </is>
      </c>
      <c r="F6" s="21" t="inlineStr">
        <is>
          <t>RHCSA-9.4, 9.1, 9.3, 9.2</t>
        </is>
      </c>
      <c r="G6" s="31" t="inlineStr">
        <is>
          <t>lab start users-password</t>
        </is>
      </c>
      <c r="H6" s="20" t="inlineStr">
        <is>
          <t>Not started</t>
        </is>
      </c>
      <c r="I6" s="21" t="n"/>
    </row>
    <row r="7">
      <c r="A7" s="19" t="n">
        <v>3</v>
      </c>
      <c r="B7" s="20" t="inlineStr">
        <is>
          <t>Everybody has won, and all must have prizes</t>
        </is>
      </c>
      <c r="C7" s="30" t="inlineStr">
        <is>
          <t>week 4</t>
        </is>
      </c>
      <c r="D7" s="22">
        <f>SemesterStart+7*(4-1)</f>
        <v/>
      </c>
      <c r="E7" s="19" t="inlineStr">
        <is>
          <t>Doable</t>
        </is>
      </c>
      <c r="F7" s="21" t="inlineStr">
        <is>
          <t>RHCSA-10.2, 1.10</t>
        </is>
      </c>
      <c r="G7" s="31" t="inlineStr">
        <is>
          <t>lab start perms-default</t>
        </is>
      </c>
      <c r="H7" s="20" t="inlineStr">
        <is>
          <t>Not started</t>
        </is>
      </c>
      <c r="I7" s="21" t="n"/>
    </row>
    <row r="8">
      <c r="A8" s="19" t="n">
        <v>4</v>
      </c>
      <c r="B8" s="20" t="inlineStr">
        <is>
          <t>The bottle marked drink me, and where it came from</t>
        </is>
      </c>
      <c r="C8" s="30" t="inlineStr">
        <is>
          <t>week 4</t>
        </is>
      </c>
      <c r="D8" s="22">
        <f>SemesterStart+7*(4-1)</f>
        <v/>
      </c>
      <c r="E8" s="19" t="inlineStr">
        <is>
          <t>Moderate</t>
        </is>
      </c>
      <c r="F8" s="21" t="inlineStr">
        <is>
          <t>RHCSA-2.1, 2.2, 7.5</t>
        </is>
      </c>
      <c r="G8" s="31" t="inlineStr">
        <is>
          <t>lab start software-dnf</t>
        </is>
      </c>
      <c r="H8" s="20" t="inlineStr">
        <is>
          <t>Not started</t>
        </is>
      </c>
      <c r="I8" s="21" t="n"/>
    </row>
    <row r="9">
      <c r="A9" s="19" t="n">
        <v>5</v>
      </c>
      <c r="B9" s="20" t="inlineStr">
        <is>
          <t>A cake marked eat me, for one guest only</t>
        </is>
      </c>
      <c r="C9" s="30" t="inlineStr">
        <is>
          <t>week 4</t>
        </is>
      </c>
      <c r="D9" s="22">
        <f>SemesterStart+7*(4-1)</f>
        <v/>
      </c>
      <c r="E9" s="19" t="inlineStr">
        <is>
          <t>Doable</t>
        </is>
      </c>
      <c r="F9" s="21" t="inlineStr">
        <is>
          <t>RHCSA-2.3, 2.4</t>
        </is>
      </c>
      <c r="G9" s="31" t="inlineStr">
        <is>
          <t>lab start flatpak-configure</t>
        </is>
      </c>
      <c r="H9" s="20" t="inlineStr">
        <is>
          <t>Not started</t>
        </is>
      </c>
      <c r="I9" s="21" t="n"/>
    </row>
    <row r="10">
      <c r="A10" s="19" t="n">
        <v>6</v>
      </c>
      <c r="B10" s="20" t="inlineStr">
        <is>
          <t>Clean cup, move down</t>
        </is>
      </c>
      <c r="C10" s="30" t="inlineStr">
        <is>
          <t>week 5</t>
        </is>
      </c>
      <c r="D10" s="22">
        <f>SemesterStart+7*(5-1)</f>
        <v/>
      </c>
      <c r="E10" s="19" t="inlineStr">
        <is>
          <t>Moderate</t>
        </is>
      </c>
      <c r="F10" s="21" t="inlineStr">
        <is>
          <t>RHCSA-6.5, 1.8, 1.9, 1.10</t>
        </is>
      </c>
      <c r="G10" s="31" t="inlineStr">
        <is>
          <t>lab start perms-cli</t>
        </is>
      </c>
      <c r="H10" s="20" t="inlineStr">
        <is>
          <t>Not started</t>
        </is>
      </c>
      <c r="I10" s="21" t="n"/>
    </row>
    <row r="11">
      <c r="A11" s="19" t="n">
        <v>7</v>
      </c>
      <c r="B11" s="20" t="inlineStr">
        <is>
          <t>The White Rabbit must not be late</t>
        </is>
      </c>
      <c r="C11" s="30" t="inlineStr">
        <is>
          <t>week 5</t>
        </is>
      </c>
      <c r="D11" s="22">
        <f>SemesterStart+7*(5-1)</f>
        <v/>
      </c>
      <c r="E11" s="19" t="inlineStr">
        <is>
          <t>Doable</t>
        </is>
      </c>
      <c r="F11" s="21" t="inlineStr">
        <is>
          <t>RHCSA-7.2, 4.9, 8.3</t>
        </is>
      </c>
      <c r="G11" s="31" t="inlineStr">
        <is>
          <t>lab start services-identify</t>
        </is>
      </c>
      <c r="H11" s="20" t="inlineStr">
        <is>
          <t>Not started</t>
        </is>
      </c>
      <c r="I11" s="21" t="n"/>
    </row>
    <row r="12">
      <c r="A12" s="19" t="n">
        <v>8</v>
      </c>
      <c r="B12" s="20" t="inlineStr">
        <is>
          <t>Who are you, said the Caterpillar</t>
        </is>
      </c>
      <c r="C12" s="30" t="inlineStr">
        <is>
          <t>week 7</t>
        </is>
      </c>
      <c r="D12" s="22">
        <f>SemesterStart+7*(7-1)</f>
        <v/>
      </c>
      <c r="E12" s="19" t="inlineStr">
        <is>
          <t>Doable</t>
        </is>
      </c>
      <c r="F12" s="21" t="inlineStr">
        <is>
          <t>RHCSA-10.3, 1.4</t>
        </is>
      </c>
      <c r="G12" s="31" t="inlineStr">
        <is>
          <t>lab start ssh-keyauth</t>
        </is>
      </c>
      <c r="H12" s="20" t="inlineStr">
        <is>
          <t>Not started</t>
        </is>
      </c>
      <c r="I12" s="21" t="n"/>
    </row>
    <row r="13">
      <c r="A13" s="19" t="n">
        <v>9</v>
      </c>
      <c r="B13" s="20" t="inlineStr">
        <is>
          <t>Two, Five and Seven paint the roses</t>
        </is>
      </c>
      <c r="C13" s="30" t="inlineStr">
        <is>
          <t>week 8</t>
        </is>
      </c>
      <c r="D13" s="22">
        <f>SemesterStart+7*(8-1)</f>
        <v/>
      </c>
      <c r="E13" s="19" t="inlineStr">
        <is>
          <t>Moderate</t>
        </is>
      </c>
      <c r="F13" s="21" t="inlineStr">
        <is>
          <t>RHCSA-3.3, 3.1, 3.2, 3.4</t>
        </is>
      </c>
      <c r="G13" s="31" t="inlineStr">
        <is>
          <t>lab start scripts-loops</t>
        </is>
      </c>
      <c r="H13" s="20" t="inlineStr">
        <is>
          <t>Not started</t>
        </is>
      </c>
      <c r="I13" s="21" t="n"/>
    </row>
    <row r="14">
      <c r="A14" s="19" t="n">
        <v>10</v>
      </c>
      <c r="B14" s="20" t="inlineStr">
        <is>
          <t>One card in the whole pack</t>
        </is>
      </c>
      <c r="C14" s="30" t="inlineStr">
        <is>
          <t>week 8</t>
        </is>
      </c>
      <c r="D14" s="22">
        <f>SemesterStart+7*(8-1)</f>
        <v/>
      </c>
      <c r="E14" s="19" t="inlineStr">
        <is>
          <t>Doable</t>
        </is>
      </c>
      <c r="F14" s="21" t="inlineStr">
        <is>
          <t>RHCSA-1.3, 1.7, 1.11</t>
        </is>
      </c>
      <c r="G14" s="31" t="inlineStr">
        <is>
          <t>lab start regexes-regex</t>
        </is>
      </c>
      <c r="H14" s="20" t="inlineStr">
        <is>
          <t>Not started</t>
        </is>
      </c>
      <c r="I14" s="21" t="n"/>
    </row>
    <row r="15">
      <c r="A15" s="19" t="n">
        <v>11</v>
      </c>
      <c r="B15" s="20" t="inlineStr">
        <is>
          <t>A watch that tells the day of the month</t>
        </is>
      </c>
      <c r="C15" s="30" t="inlineStr">
        <is>
          <t>week 9</t>
        </is>
      </c>
      <c r="D15" s="22">
        <f>SemesterStart+7*(9-1)</f>
        <v/>
      </c>
      <c r="E15" s="19" t="inlineStr">
        <is>
          <t>Moderate</t>
        </is>
      </c>
      <c r="F15" s="21" t="inlineStr">
        <is>
          <t>RHCSA-7.1 (at and cron only), 1.2</t>
        </is>
      </c>
      <c r="G15" s="31" t="inlineStr">
        <is>
          <t>lab start scheduling-cron</t>
        </is>
      </c>
      <c r="H15" s="20" t="inlineStr">
        <is>
          <t>Not started</t>
        </is>
      </c>
      <c r="I15" s="21" t="n"/>
    </row>
    <row r="16">
      <c r="A16" s="19" t="n">
        <v>12</v>
      </c>
      <c r="B16" s="20" t="inlineStr">
        <is>
          <t>The jury writes it all down</t>
        </is>
      </c>
      <c r="C16" s="30" t="inlineStr">
        <is>
          <t>week 9</t>
        </is>
      </c>
      <c r="D16" s="22">
        <f>SemesterStart+7*(9-1)</f>
        <v/>
      </c>
      <c r="E16" s="19" t="inlineStr">
        <is>
          <t>Moderate</t>
        </is>
      </c>
      <c r="F16" s="21" t="inlineStr">
        <is>
          <t>RHCSA-4.7, 4.8, 7.4</t>
        </is>
      </c>
      <c r="G16" s="31" t="inlineStr">
        <is>
          <t>lab start logs-systemd</t>
        </is>
      </c>
      <c r="H16" s="20" t="inlineStr">
        <is>
          <t>Not started</t>
        </is>
      </c>
      <c r="I16" s="21" t="n"/>
    </row>
    <row r="17">
      <c r="A17" s="19" t="n">
        <v>13</v>
      </c>
      <c r="B17" s="20" t="inlineStr">
        <is>
          <t>A caucus race with no winner</t>
        </is>
      </c>
      <c r="C17" s="30" t="inlineStr">
        <is>
          <t>week 11</t>
        </is>
      </c>
      <c r="D17" s="22">
        <f>SemesterStart+7*(11-1)</f>
        <v/>
      </c>
      <c r="E17" s="19" t="inlineStr">
        <is>
          <t>Moderate</t>
        </is>
      </c>
      <c r="F17" s="21" t="inlineStr">
        <is>
          <t>RHCSA-4.4, 4.5, 4.6</t>
        </is>
      </c>
      <c r="G17" s="31" t="inlineStr">
        <is>
          <t>lab start tuning-nice</t>
        </is>
      </c>
      <c r="H17" s="20" t="inlineStr">
        <is>
          <t>Not started</t>
        </is>
      </c>
      <c r="I17" s="21" t="n"/>
    </row>
    <row r="18">
      <c r="A18" s="19" t="n">
        <v>14</v>
      </c>
      <c r="B18" s="20" t="inlineStr">
        <is>
          <t>The Cheshire Cat fades, but the grin stays</t>
        </is>
      </c>
      <c r="C18" s="30" t="inlineStr">
        <is>
          <t>week 10</t>
        </is>
      </c>
      <c r="D18" s="22">
        <f>SemesterStart+7*(10-1)</f>
        <v/>
      </c>
      <c r="E18" s="19" t="inlineStr">
        <is>
          <t>Moderate</t>
        </is>
      </c>
      <c r="F18" s="21" t="inlineStr">
        <is>
          <t>RHCSA-10.4, 10.5, 10.8</t>
        </is>
      </c>
      <c r="G18" s="31" t="inlineStr">
        <is>
          <t>lab start selinux-booleans</t>
        </is>
      </c>
      <c r="H18" s="20" t="inlineStr">
        <is>
          <t>Not started</t>
        </is>
      </c>
      <c r="I18" s="21" t="n"/>
    </row>
    <row r="19">
      <c r="A19" s="19" t="n">
        <v>15</v>
      </c>
      <c r="B19" s="20" t="inlineStr">
        <is>
          <t>Alice grows, and the bottle is put away</t>
        </is>
      </c>
      <c r="C19" s="30" t="inlineStr">
        <is>
          <t>week 11</t>
        </is>
      </c>
      <c r="D19" s="22">
        <f>SemesterStart+7*(11-1)</f>
        <v/>
      </c>
      <c r="E19" s="19" t="inlineStr">
        <is>
          <t>Hard</t>
        </is>
      </c>
      <c r="F19" s="21" t="inlineStr">
        <is>
          <t>RHCSA-6.4, 5.1, 5.2, 5.3</t>
        </is>
      </c>
      <c r="G19" s="31" t="inlineStr">
        <is>
          <t>lab start lvm-extend</t>
        </is>
      </c>
      <c r="H19" s="20" t="inlineStr">
        <is>
          <t>Not started</t>
        </is>
      </c>
      <c r="I19" s="21" t="n"/>
    </row>
    <row r="20">
      <c r="A20" s="19" t="n">
        <v>16</v>
      </c>
      <c r="B20" s="20" t="inlineStr">
        <is>
          <t>No room, said the Hare, and there was plenty</t>
        </is>
      </c>
      <c r="C20" s="30" t="inlineStr">
        <is>
          <t>week 11</t>
        </is>
      </c>
      <c r="D20" s="22">
        <f>SemesterStart+7*(11-1)</f>
        <v/>
      </c>
      <c r="E20" s="19" t="inlineStr">
        <is>
          <t>Hard</t>
        </is>
      </c>
      <c r="F20" s="21" t="inlineStr">
        <is>
          <t>RHCSA-5.4, 5.2, 5.3, 5.6</t>
        </is>
      </c>
      <c r="G20" s="31" t="inlineStr">
        <is>
          <t>lab start lvm-create</t>
        </is>
      </c>
      <c r="H20" s="20" t="inlineStr">
        <is>
          <t>Not started</t>
        </is>
      </c>
      <c r="I20" s="21" t="n"/>
    </row>
    <row r="21">
      <c r="A21" s="19" t="n">
        <v>17</v>
      </c>
      <c r="B21" s="20" t="inlineStr">
        <is>
          <t>The treacle well, and what was drawn from it</t>
        </is>
      </c>
      <c r="C21" s="30" t="inlineStr">
        <is>
          <t>week 11</t>
        </is>
      </c>
      <c r="D21" s="22">
        <f>SemesterStart+7*(11-1)</f>
        <v/>
      </c>
      <c r="E21" s="19" t="inlineStr">
        <is>
          <t>Hard</t>
        </is>
      </c>
      <c r="F21" s="21" t="inlineStr">
        <is>
          <t>RHCSA-6.1 (XFS and ext4 only), 1.6, 4.10, 5.5</t>
        </is>
      </c>
      <c r="G21" s="31" t="inlineStr">
        <is>
          <t>lab start archive-manage</t>
        </is>
      </c>
      <c r="H21" s="20" t="inlineStr">
        <is>
          <t>Not started</t>
        </is>
      </c>
      <c r="I21" s="21" t="n"/>
    </row>
    <row r="22">
      <c r="A22" s="19" t="n">
        <v>18</v>
      </c>
      <c r="B22" s="20" t="inlineStr">
        <is>
          <t>A door that opens only when asked</t>
        </is>
      </c>
      <c r="C22" s="30" t="inlineStr">
        <is>
          <t>week 13</t>
        </is>
      </c>
      <c r="D22" s="22">
        <f>SemesterStart+7*(13-1)</f>
        <v/>
      </c>
      <c r="E22" s="19" t="inlineStr">
        <is>
          <t>Doable</t>
        </is>
      </c>
      <c r="F22" s="21" t="inlineStr">
        <is>
          <t>RHCSA-6.2, 6.3, 4.9</t>
        </is>
      </c>
      <c r="G22" s="31" t="inlineStr">
        <is>
          <t>lab start nfsclient-autofs</t>
        </is>
      </c>
      <c r="H22" s="20" t="inlineStr">
        <is>
          <t>Not started</t>
        </is>
      </c>
      <c r="I22" s="21" t="n"/>
    </row>
    <row r="23">
      <c r="A23" s="19" t="n">
        <v>19</v>
      </c>
      <c r="B23" s="20" t="inlineStr">
        <is>
          <t>The flamingo lent for the game, and given back</t>
        </is>
      </c>
      <c r="C23" s="30" t="inlineStr">
        <is>
          <t>week 12</t>
        </is>
      </c>
      <c r="D23" s="22">
        <f>SemesterStart+7*(12-1)</f>
        <v/>
      </c>
      <c r="E23" s="19" t="inlineStr">
        <is>
          <t>Moderate</t>
        </is>
      </c>
      <c r="F23" s="21" t="inlineStr">
        <is>
          <t>RHCSA-10.7, 10.1</t>
        </is>
      </c>
      <c r="G23" s="31" t="inlineStr">
        <is>
          <t>lab start netsecurity-ports</t>
        </is>
      </c>
      <c r="H23" s="20" t="inlineStr">
        <is>
          <t>Not started</t>
        </is>
      </c>
      <c r="I23" s="21" t="n"/>
    </row>
    <row r="24">
      <c r="A24" s="19" t="n">
        <v>20</v>
      </c>
      <c r="B24" s="20" t="inlineStr">
        <is>
          <t>What is the use of a book without pictures</t>
        </is>
      </c>
      <c r="C24" s="30" t="inlineStr">
        <is>
          <t>week 12</t>
        </is>
      </c>
      <c r="D24" s="22">
        <f>SemesterStart+7*(12-1)</f>
        <v/>
      </c>
      <c r="E24" s="19" t="inlineStr">
        <is>
          <t>Hard</t>
        </is>
      </c>
      <c r="F24" s="21" t="inlineStr">
        <is>
          <t>RHCSA-5.1, 5.5, 10.6, 10.1</t>
        </is>
      </c>
      <c r="G24" s="31" t="inlineStr">
        <is>
          <t>lab start storage-partitions</t>
        </is>
      </c>
      <c r="H24" s="20" t="inlineStr">
        <is>
          <t>Not started</t>
        </is>
      </c>
      <c r="I24" s="21" t="n"/>
    </row>
    <row r="25">
      <c r="A25" s="19" t="n">
        <v>21</v>
      </c>
      <c r="B25" s="20" t="inlineStr">
        <is>
          <t>A passage of their own to the garden</t>
        </is>
      </c>
      <c r="C25" s="30" t="inlineStr">
        <is>
          <t>week 12</t>
        </is>
      </c>
      <c r="D25" s="22">
        <f>SemesterStart+7*(12-1)</f>
        <v/>
      </c>
      <c r="E25" s="19" t="inlineStr">
        <is>
          <t>Moderate</t>
        </is>
      </c>
      <c r="F25" s="21" t="inlineStr">
        <is>
          <t>RHCSA-8.1, 8.2, 8.4</t>
        </is>
      </c>
      <c r="G25" s="31" t="inlineStr">
        <is>
          <t>lab start net-edit</t>
        </is>
      </c>
      <c r="H25" s="20" t="inlineStr">
        <is>
          <t>Not started</t>
        </is>
      </c>
      <c r="I25" s="21" t="n"/>
    </row>
    <row r="26">
      <c r="A26" s="19" t="n">
        <v>22</v>
      </c>
      <c r="B26" s="20" t="inlineStr">
        <is>
          <t>Begin at the beginning, said the King</t>
        </is>
      </c>
      <c r="C26" s="30" t="inlineStr">
        <is>
          <t>week 12</t>
        </is>
      </c>
      <c r="D26" s="22">
        <f>SemesterStart+7*(12-1)</f>
        <v/>
      </c>
      <c r="E26" s="19" t="inlineStr">
        <is>
          <t>Hard</t>
        </is>
      </c>
      <c r="F26" s="21" t="inlineStr">
        <is>
          <t>RHCSA-7.6, 4.1, 4.2, 4.3, 7.3, 1.5</t>
        </is>
      </c>
      <c r="G26" s="31" t="inlineStr">
        <is>
          <t>lab start boot-grub</t>
        </is>
      </c>
      <c r="H26" s="20" t="inlineStr">
        <is>
          <t>Not started</t>
        </is>
      </c>
      <c r="I26" s="21" t="n"/>
    </row>
  </sheetData>
  <autoFilter ref="A4:I26"/>
  <mergeCells count="2">
    <mergeCell ref="A1:I1"/>
    <mergeCell ref="A2:I2"/>
  </mergeCells>
  <conditionalFormatting sqref="D5:D26">
    <cfRule type="expression" priority="1" dxfId="2">
      <formula>AND(ISNUMBER($D5),$D5&lt;=TODAY(),$H5&lt;&gt;"Done")</formula>
    </cfRule>
  </conditionalFormatting>
  <conditionalFormatting sqref="A5:I26">
    <cfRule type="expression" priority="2" dxfId="3">
      <formula>$H5="Done"</formula>
    </cfRule>
  </conditionalFormatting>
  <dataValidations count="1">
    <dataValidation sqref="H5:H26" showDropDown="0" showInputMessage="0" showErrorMessage="1" allowBlank="1" errorTitle="Use the dropdown" error="Pick one of the three values from the list." type="list">
      <formula1>"Not started,In progress,Done"</formula1>
    </dataValidation>
  </dataValidations>
  <printOptions horizontalCentered="1"/>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ICT257, Singapore University of Social Sciences</dc:creator>
  <dc:title xmlns:dc="http://purl.org/dc/elements/1.1/">ICT257 study planner</dc:title>
  <dc:subject xmlns:dc="http://purl.org/dc/elements/1.1/">Red Hat System Administration, RHCSA (EX200) preparation</dc:subject>
  <dcterms:created xmlns:dcterms="http://purl.org/dc/terms/" xmlns:xsi="http://www.w3.org/2001/XMLSchema-instance" xsi:type="dcterms:W3CDTF">2026-10-16T00:39:45Z</dcterms:created>
  <dcterms:modified xmlns:dcterms="http://purl.org/dc/terms/" xmlns:xsi="http://www.w3.org/2001/XMLSchema-instance" xsi:type="dcterms:W3CDTF">2026-10-16T00:39:45Z</dcterms:modified>
</cp:coreProperties>
</file>